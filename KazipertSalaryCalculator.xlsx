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1FF092-FC38-415B-8F71-D491CCB4164D}" xr6:coauthVersionLast="47" xr6:coauthVersionMax="47" xr10:uidLastSave="{00000000-0000-0000-0000-000000000000}"/>
  <bookViews>
    <workbookView xWindow="-60" yWindow="-60" windowWidth="19320" windowHeight="10920" xr2:uid="{5AD61AE3-42B5-4D78-9232-070F989D0E13}"/>
  </bookViews>
  <sheets>
    <sheet name="Final SalCal Summary" sheetId="8" r:id="rId1"/>
    <sheet name="Fnal Tasks Pricing Mode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4" i="8" l="1"/>
  <c r="I65" i="5"/>
  <c r="I23" i="5"/>
  <c r="I24" i="5"/>
  <c r="I25" i="5"/>
  <c r="I26" i="5"/>
  <c r="I29" i="5"/>
  <c r="I30" i="5"/>
  <c r="I31" i="5"/>
  <c r="I32" i="5"/>
  <c r="I33" i="5"/>
  <c r="I34" i="5"/>
  <c r="I35" i="5"/>
  <c r="I40" i="5"/>
  <c r="I41" i="5"/>
  <c r="I45" i="5"/>
  <c r="I46" i="5"/>
  <c r="I47" i="5"/>
  <c r="I48" i="5"/>
  <c r="I49" i="5"/>
  <c r="I50" i="5"/>
  <c r="I51" i="5"/>
  <c r="I52" i="5"/>
  <c r="I55" i="5"/>
  <c r="I56" i="5"/>
  <c r="I57" i="5"/>
  <c r="I58" i="5"/>
  <c r="I59" i="5"/>
  <c r="I60" i="5"/>
  <c r="I61" i="5"/>
  <c r="I62" i="5"/>
  <c r="I68" i="5"/>
  <c r="I70" i="5"/>
  <c r="I71" i="5"/>
  <c r="I72" i="5"/>
  <c r="I73" i="5"/>
  <c r="I74" i="5"/>
  <c r="I76" i="5"/>
  <c r="I77" i="5"/>
  <c r="I78" i="5"/>
  <c r="I22" i="5"/>
  <c r="F14" i="5"/>
  <c r="F13" i="5"/>
  <c r="F12" i="5"/>
  <c r="F11" i="5"/>
  <c r="F10" i="5"/>
  <c r="F9" i="5"/>
  <c r="F8" i="5"/>
  <c r="F7" i="5"/>
  <c r="F6" i="5"/>
  <c r="F5" i="5"/>
  <c r="F4" i="5"/>
  <c r="F3" i="5"/>
  <c r="F16" i="8"/>
  <c r="F15" i="8"/>
  <c r="F14" i="8"/>
  <c r="F13" i="8"/>
  <c r="F12" i="8"/>
  <c r="F11" i="8"/>
  <c r="F10" i="8"/>
  <c r="F9" i="8"/>
  <c r="F8" i="8"/>
  <c r="F7" i="8"/>
  <c r="F6" i="8"/>
  <c r="F5" i="8"/>
  <c r="V37" i="8"/>
  <c r="AE37" i="8" s="1"/>
  <c r="T37" i="8"/>
  <c r="I37" i="8"/>
  <c r="V36" i="8"/>
  <c r="T36" i="8"/>
  <c r="I36" i="8"/>
  <c r="V35" i="8"/>
  <c r="AE35" i="8" s="1"/>
  <c r="T35" i="8"/>
  <c r="I35" i="8"/>
  <c r="V34" i="8"/>
  <c r="AH34" i="8" s="1"/>
  <c r="T34" i="8"/>
  <c r="I34" i="8"/>
  <c r="V33" i="8"/>
  <c r="AE33" i="8" s="1"/>
  <c r="T33" i="8"/>
  <c r="I33" i="8"/>
  <c r="V32" i="8"/>
  <c r="T32" i="8"/>
  <c r="I32" i="8"/>
  <c r="V31" i="8"/>
  <c r="AE31" i="8" s="1"/>
  <c r="T31" i="8"/>
  <c r="I31" i="8"/>
  <c r="V30" i="8"/>
  <c r="AH30" i="8" s="1"/>
  <c r="T30" i="8"/>
  <c r="I30" i="8"/>
  <c r="V29" i="8"/>
  <c r="AE29" i="8" s="1"/>
  <c r="T29" i="8"/>
  <c r="I29" i="8"/>
  <c r="V28" i="8"/>
  <c r="AE28" i="8" s="1"/>
  <c r="T28" i="8"/>
  <c r="R28" i="8"/>
  <c r="R34" i="8" s="1"/>
  <c r="O28" i="8"/>
  <c r="L28" i="8"/>
  <c r="L36" i="8" s="1"/>
  <c r="I28" i="8"/>
  <c r="D121" i="8"/>
  <c r="P121" i="8" s="1"/>
  <c r="D120" i="8"/>
  <c r="R120" i="8" s="1"/>
  <c r="D119" i="8"/>
  <c r="P119" i="8" s="1"/>
  <c r="D112" i="8"/>
  <c r="P112" i="8" s="1"/>
  <c r="D111" i="8"/>
  <c r="R111" i="8" s="1"/>
  <c r="D110" i="8"/>
  <c r="P110" i="8" s="1"/>
  <c r="D109" i="8"/>
  <c r="R109" i="8" s="1"/>
  <c r="C103" i="8"/>
  <c r="C102" i="8"/>
  <c r="C101" i="8"/>
  <c r="C100" i="8"/>
  <c r="C99" i="8"/>
  <c r="C98" i="8"/>
  <c r="C97" i="8"/>
  <c r="C96" i="8"/>
  <c r="C95" i="8"/>
  <c r="C94" i="8"/>
  <c r="C93" i="8"/>
  <c r="C92" i="8"/>
  <c r="D82" i="8"/>
  <c r="O82" i="8" s="1"/>
  <c r="D81" i="8"/>
  <c r="R81" i="8" s="1"/>
  <c r="D80" i="8"/>
  <c r="O80" i="8" s="1"/>
  <c r="D83" i="8"/>
  <c r="P83" i="8" s="1"/>
  <c r="D79" i="8"/>
  <c r="R79" i="8" s="1"/>
  <c r="D78" i="8"/>
  <c r="P78" i="8" s="1"/>
  <c r="D77" i="8"/>
  <c r="R77" i="8" s="1"/>
  <c r="D76" i="8"/>
  <c r="P76" i="8" s="1"/>
  <c r="D75" i="8"/>
  <c r="R75" i="8" s="1"/>
  <c r="D63" i="8"/>
  <c r="D64" i="8"/>
  <c r="R64" i="8" s="1"/>
  <c r="D65" i="8"/>
  <c r="R65" i="8" s="1"/>
  <c r="D66" i="8"/>
  <c r="R66" i="8" s="1"/>
  <c r="D67" i="8"/>
  <c r="R67" i="8" s="1"/>
  <c r="D68" i="8"/>
  <c r="P68" i="8" s="1"/>
  <c r="C57" i="8"/>
  <c r="C56" i="8"/>
  <c r="C55" i="8"/>
  <c r="C54" i="8"/>
  <c r="C53" i="8"/>
  <c r="C52" i="8"/>
  <c r="C51" i="8"/>
  <c r="C50" i="8"/>
  <c r="C49" i="8"/>
  <c r="C48" i="8"/>
  <c r="C47" i="8"/>
  <c r="C46" i="8"/>
  <c r="C9" i="8" a="1"/>
  <c r="C9" i="8" s="1"/>
  <c r="C7" i="8"/>
  <c r="C8" i="8" s="1"/>
  <c r="G79" i="8" s="1"/>
  <c r="G23" i="5"/>
  <c r="G24" i="5"/>
  <c r="G25" i="5"/>
  <c r="G26" i="5"/>
  <c r="G29" i="5"/>
  <c r="G30" i="5"/>
  <c r="G31" i="5"/>
  <c r="G32" i="5"/>
  <c r="G33" i="5"/>
  <c r="G34" i="5"/>
  <c r="G35" i="5"/>
  <c r="G40" i="5"/>
  <c r="G41" i="5"/>
  <c r="G45" i="5"/>
  <c r="G46" i="5"/>
  <c r="G47" i="5"/>
  <c r="G48" i="5"/>
  <c r="G49" i="5"/>
  <c r="G50" i="5"/>
  <c r="G51" i="5"/>
  <c r="G52" i="5"/>
  <c r="G55" i="5"/>
  <c r="G56" i="5"/>
  <c r="G57" i="5"/>
  <c r="G58" i="5"/>
  <c r="G61" i="5"/>
  <c r="G62" i="5"/>
  <c r="G65" i="5"/>
  <c r="G68" i="5"/>
  <c r="G70" i="5"/>
  <c r="G71" i="5"/>
  <c r="G72" i="5"/>
  <c r="G73" i="5"/>
  <c r="G74" i="5"/>
  <c r="G76" i="5"/>
  <c r="G77" i="5"/>
  <c r="G78" i="5"/>
  <c r="G22" i="5"/>
  <c r="C7" i="5" a="1"/>
  <c r="C7" i="5" s="1"/>
  <c r="C5" i="5"/>
  <c r="C6" i="5" s="1"/>
  <c r="E45" i="5"/>
  <c r="E22" i="5" l="1"/>
  <c r="J22" i="5" s="1"/>
  <c r="K22" i="5" s="1"/>
  <c r="E26" i="5"/>
  <c r="E32" i="5"/>
  <c r="J32" i="5" s="1"/>
  <c r="K32" i="5" s="1"/>
  <c r="E33" i="5"/>
  <c r="J33" i="5" s="1"/>
  <c r="K33" i="5" s="1"/>
  <c r="E23" i="5"/>
  <c r="J23" i="5" s="1"/>
  <c r="K23" i="5" s="1"/>
  <c r="E29" i="5"/>
  <c r="J29" i="5" s="1"/>
  <c r="K29" i="5" s="1"/>
  <c r="E35" i="5"/>
  <c r="J35" i="5" s="1"/>
  <c r="K35" i="5" s="1"/>
  <c r="E31" i="5"/>
  <c r="J31" i="5" s="1"/>
  <c r="K31" i="5" s="1"/>
  <c r="E25" i="5"/>
  <c r="J25" i="5" s="1"/>
  <c r="K25" i="5" s="1"/>
  <c r="J26" i="5"/>
  <c r="K26" i="5" s="1"/>
  <c r="E34" i="5"/>
  <c r="J34" i="5" s="1"/>
  <c r="K34" i="5" s="1"/>
  <c r="E30" i="5"/>
  <c r="J30" i="5" s="1"/>
  <c r="K30" i="5" s="1"/>
  <c r="E24" i="5"/>
  <c r="J24" i="5" s="1"/>
  <c r="K24" i="5" s="1"/>
  <c r="U29" i="8"/>
  <c r="U33" i="8"/>
  <c r="AG33" i="8" s="1"/>
  <c r="U34" i="8"/>
  <c r="AD34" i="8" s="1"/>
  <c r="U35" i="8"/>
  <c r="X35" i="8" s="1"/>
  <c r="Z35" i="8" s="1"/>
  <c r="E36" i="8"/>
  <c r="N36" i="8" s="1"/>
  <c r="L31" i="8"/>
  <c r="U32" i="8"/>
  <c r="W32" i="8" s="1"/>
  <c r="L37" i="8"/>
  <c r="E29" i="8"/>
  <c r="K29" i="8" s="1"/>
  <c r="AB29" i="8"/>
  <c r="E32" i="8"/>
  <c r="K32" i="8" s="1"/>
  <c r="E34" i="8"/>
  <c r="G34" i="8" s="1"/>
  <c r="E35" i="8"/>
  <c r="K35" i="8" s="1"/>
  <c r="Y35" i="8"/>
  <c r="U36" i="8"/>
  <c r="AD36" i="8" s="1"/>
  <c r="U30" i="8"/>
  <c r="AD30" i="8" s="1"/>
  <c r="AF30" i="8" s="1"/>
  <c r="AB31" i="8"/>
  <c r="E30" i="8"/>
  <c r="N30" i="8" s="1"/>
  <c r="AE30" i="8"/>
  <c r="U31" i="8"/>
  <c r="AG31" i="8" s="1"/>
  <c r="AB35" i="8"/>
  <c r="Q35" i="8"/>
  <c r="H29" i="8"/>
  <c r="J29" i="8" s="1"/>
  <c r="U28" i="8"/>
  <c r="W28" i="8" s="1"/>
  <c r="W22" i="8" s="1"/>
  <c r="E31" i="8"/>
  <c r="L33" i="8"/>
  <c r="Y33" i="8"/>
  <c r="E37" i="8"/>
  <c r="G37" i="8" s="1"/>
  <c r="Y37" i="8"/>
  <c r="Q29" i="8"/>
  <c r="H35" i="8"/>
  <c r="J35" i="8" s="1"/>
  <c r="E28" i="8"/>
  <c r="Q28" i="8" s="1"/>
  <c r="S28" i="8" s="1"/>
  <c r="R22" i="8" s="1"/>
  <c r="L29" i="8"/>
  <c r="M29" i="8" s="1"/>
  <c r="Y29" i="8"/>
  <c r="R30" i="8"/>
  <c r="Y31" i="8"/>
  <c r="E33" i="8"/>
  <c r="N33" i="8" s="1"/>
  <c r="AB33" i="8"/>
  <c r="L35" i="8"/>
  <c r="M35" i="8" s="1"/>
  <c r="U37" i="8"/>
  <c r="X37" i="8" s="1"/>
  <c r="AB37" i="8"/>
  <c r="AA33" i="8"/>
  <c r="AC33" i="8" s="1"/>
  <c r="W33" i="8"/>
  <c r="AD33" i="8"/>
  <c r="AF33" i="8" s="1"/>
  <c r="AA29" i="8"/>
  <c r="W29" i="8"/>
  <c r="AD29" i="8"/>
  <c r="AF29" i="8" s="1"/>
  <c r="X29" i="8"/>
  <c r="AG29" i="8"/>
  <c r="O37" i="8"/>
  <c r="O35" i="8"/>
  <c r="O33" i="8"/>
  <c r="O31" i="8"/>
  <c r="O29" i="8"/>
  <c r="O34" i="8"/>
  <c r="O36" i="8"/>
  <c r="P36" i="8" s="1"/>
  <c r="Y32" i="8"/>
  <c r="AB32" i="8"/>
  <c r="R37" i="8"/>
  <c r="R35" i="8"/>
  <c r="R33" i="8"/>
  <c r="R31" i="8"/>
  <c r="R29" i="8"/>
  <c r="R32" i="8"/>
  <c r="AE32" i="8"/>
  <c r="Y34" i="8"/>
  <c r="AE34" i="8"/>
  <c r="AB34" i="8"/>
  <c r="Q36" i="8"/>
  <c r="K36" i="8"/>
  <c r="M36" i="8" s="1"/>
  <c r="G36" i="8"/>
  <c r="H36" i="8"/>
  <c r="J36" i="8" s="1"/>
  <c r="R36" i="8"/>
  <c r="Y36" i="8"/>
  <c r="AB36" i="8"/>
  <c r="AE36" i="8"/>
  <c r="Y28" i="8"/>
  <c r="AB28" i="8"/>
  <c r="Q30" i="8"/>
  <c r="O32" i="8"/>
  <c r="AH28" i="8"/>
  <c r="O30" i="8"/>
  <c r="P30" i="8" s="1"/>
  <c r="Y30" i="8"/>
  <c r="AB30" i="8"/>
  <c r="AH32" i="8"/>
  <c r="AH36" i="8"/>
  <c r="N29" i="8"/>
  <c r="AH29" i="8"/>
  <c r="L30" i="8"/>
  <c r="N31" i="8"/>
  <c r="AH31" i="8"/>
  <c r="L32" i="8"/>
  <c r="AH33" i="8"/>
  <c r="L34" i="8"/>
  <c r="N35" i="8"/>
  <c r="AH35" i="8"/>
  <c r="AH37" i="8"/>
  <c r="G29" i="8"/>
  <c r="G31" i="8"/>
  <c r="G35" i="8"/>
  <c r="O109" i="8"/>
  <c r="O111" i="8"/>
  <c r="F109" i="8"/>
  <c r="F111" i="8"/>
  <c r="F120" i="8"/>
  <c r="O120" i="8"/>
  <c r="Q112" i="8"/>
  <c r="G109" i="8"/>
  <c r="P109" i="8"/>
  <c r="E110" i="8"/>
  <c r="R110" i="8"/>
  <c r="G111" i="8"/>
  <c r="P111" i="8"/>
  <c r="E112" i="8"/>
  <c r="R112" i="8"/>
  <c r="E119" i="8"/>
  <c r="R119" i="8"/>
  <c r="G120" i="8"/>
  <c r="P120" i="8"/>
  <c r="E121" i="8"/>
  <c r="R121" i="8"/>
  <c r="Q110" i="8"/>
  <c r="Q119" i="8"/>
  <c r="Q121" i="8"/>
  <c r="Q109" i="8"/>
  <c r="F110" i="8"/>
  <c r="O110" i="8"/>
  <c r="Q111" i="8"/>
  <c r="F112" i="8"/>
  <c r="O112" i="8"/>
  <c r="D113" i="8"/>
  <c r="G113" i="8" s="1"/>
  <c r="F119" i="8"/>
  <c r="O119" i="8"/>
  <c r="Q120" i="8"/>
  <c r="F121" i="8"/>
  <c r="O121" i="8"/>
  <c r="D122" i="8"/>
  <c r="G122" i="8" s="1"/>
  <c r="E109" i="8"/>
  <c r="G110" i="8"/>
  <c r="E111" i="8"/>
  <c r="G112" i="8"/>
  <c r="G119" i="8"/>
  <c r="E120" i="8"/>
  <c r="G121" i="8"/>
  <c r="R82" i="8"/>
  <c r="Q81" i="8"/>
  <c r="P81" i="8"/>
  <c r="O81" i="8"/>
  <c r="E80" i="8"/>
  <c r="G81" i="8"/>
  <c r="N81" i="8" s="1"/>
  <c r="G82" i="8"/>
  <c r="L82" i="8" s="1"/>
  <c r="E81" i="8"/>
  <c r="E82" i="8"/>
  <c r="Q82" i="8"/>
  <c r="F82" i="8"/>
  <c r="P82" i="8"/>
  <c r="F81" i="8"/>
  <c r="L81" i="8"/>
  <c r="R80" i="8"/>
  <c r="G80" i="8"/>
  <c r="Q80" i="8"/>
  <c r="F80" i="8"/>
  <c r="P80" i="8"/>
  <c r="P75" i="8"/>
  <c r="F77" i="8"/>
  <c r="F75" i="8"/>
  <c r="O79" i="8"/>
  <c r="G75" i="8"/>
  <c r="N75" i="8" s="1"/>
  <c r="G77" i="8"/>
  <c r="N77" i="8" s="1"/>
  <c r="N79" i="8"/>
  <c r="K79" i="8"/>
  <c r="O77" i="8"/>
  <c r="F79" i="8"/>
  <c r="P79" i="8"/>
  <c r="O75" i="8"/>
  <c r="P77" i="8"/>
  <c r="Q76" i="8"/>
  <c r="Q83" i="8"/>
  <c r="E76" i="8"/>
  <c r="E78" i="8"/>
  <c r="R78" i="8"/>
  <c r="E83" i="8"/>
  <c r="Q75" i="8"/>
  <c r="F76" i="8"/>
  <c r="O76" i="8"/>
  <c r="Q77" i="8"/>
  <c r="F78" i="8"/>
  <c r="O78" i="8"/>
  <c r="I79" i="8"/>
  <c r="M79" i="8"/>
  <c r="Q79" i="8"/>
  <c r="F83" i="8"/>
  <c r="O83" i="8"/>
  <c r="D84" i="8"/>
  <c r="G84" i="8" s="1"/>
  <c r="Q78" i="8"/>
  <c r="R76" i="8"/>
  <c r="L79" i="8"/>
  <c r="R83" i="8"/>
  <c r="E75" i="8"/>
  <c r="G76" i="8"/>
  <c r="E77" i="8"/>
  <c r="G78" i="8"/>
  <c r="E79" i="8"/>
  <c r="J79" i="8"/>
  <c r="G83" i="8"/>
  <c r="P65" i="8"/>
  <c r="P64" i="8"/>
  <c r="R68" i="8"/>
  <c r="F63" i="8"/>
  <c r="E65" i="8"/>
  <c r="P63" i="8"/>
  <c r="Q67" i="8"/>
  <c r="O67" i="8"/>
  <c r="R63" i="8"/>
  <c r="F67" i="8"/>
  <c r="O66" i="8"/>
  <c r="F66" i="8"/>
  <c r="E68" i="8"/>
  <c r="E64" i="8"/>
  <c r="O63" i="8"/>
  <c r="O65" i="8"/>
  <c r="P67" i="8"/>
  <c r="Q63" i="8"/>
  <c r="Q65" i="8"/>
  <c r="F65" i="8"/>
  <c r="E66" i="8"/>
  <c r="Q66" i="8"/>
  <c r="E67" i="8"/>
  <c r="O68" i="8"/>
  <c r="O64" i="8"/>
  <c r="P66" i="8"/>
  <c r="Q68" i="8"/>
  <c r="Q64" i="8"/>
  <c r="F68" i="8"/>
  <c r="F64" i="8"/>
  <c r="D69" i="8"/>
  <c r="G69" i="8" s="1"/>
  <c r="E63" i="8"/>
  <c r="G64" i="8"/>
  <c r="G67" i="8"/>
  <c r="G66" i="8"/>
  <c r="G63" i="8"/>
  <c r="G65" i="8"/>
  <c r="G68" i="8"/>
  <c r="E51" i="5"/>
  <c r="J51" i="5" s="1"/>
  <c r="K51" i="5" s="1"/>
  <c r="E55" i="5"/>
  <c r="J55" i="5" s="1"/>
  <c r="K55" i="5" s="1"/>
  <c r="E71" i="5"/>
  <c r="J71" i="5" s="1"/>
  <c r="K71" i="5" s="1"/>
  <c r="E78" i="5"/>
  <c r="J78" i="5" s="1"/>
  <c r="K78" i="5" s="1"/>
  <c r="E47" i="5"/>
  <c r="J47" i="5" s="1"/>
  <c r="K47" i="5" s="1"/>
  <c r="E50" i="5"/>
  <c r="J50" i="5" s="1"/>
  <c r="K50" i="5" s="1"/>
  <c r="E58" i="5"/>
  <c r="J58" i="5" s="1"/>
  <c r="K58" i="5" s="1"/>
  <c r="E62" i="5"/>
  <c r="J62" i="5" s="1"/>
  <c r="K62" i="5" s="1"/>
  <c r="E70" i="5"/>
  <c r="J70" i="5" s="1"/>
  <c r="K70" i="5" s="1"/>
  <c r="E74" i="5"/>
  <c r="J74" i="5" s="1"/>
  <c r="K74" i="5" s="1"/>
  <c r="E46" i="5"/>
  <c r="J46" i="5" s="1"/>
  <c r="K46" i="5" s="1"/>
  <c r="E48" i="5"/>
  <c r="J48" i="5" s="1"/>
  <c r="K48" i="5" s="1"/>
  <c r="E52" i="5"/>
  <c r="J52" i="5" s="1"/>
  <c r="K52" i="5" s="1"/>
  <c r="E56" i="5"/>
  <c r="J56" i="5" s="1"/>
  <c r="K56" i="5" s="1"/>
  <c r="E68" i="5"/>
  <c r="J68" i="5" s="1"/>
  <c r="K68" i="5" s="1"/>
  <c r="E72" i="5"/>
  <c r="J72" i="5" s="1"/>
  <c r="K72" i="5" s="1"/>
  <c r="E76" i="5"/>
  <c r="J76" i="5" s="1"/>
  <c r="K76" i="5" s="1"/>
  <c r="E40" i="5"/>
  <c r="J40" i="5" s="1"/>
  <c r="K40" i="5" s="1"/>
  <c r="E49" i="5"/>
  <c r="J49" i="5" s="1"/>
  <c r="K49" i="5" s="1"/>
  <c r="E57" i="5"/>
  <c r="J57" i="5" s="1"/>
  <c r="K57" i="5" s="1"/>
  <c r="E61" i="5"/>
  <c r="J61" i="5" s="1"/>
  <c r="K61" i="5" s="1"/>
  <c r="E65" i="5"/>
  <c r="E73" i="5"/>
  <c r="J73" i="5" s="1"/>
  <c r="K73" i="5" s="1"/>
  <c r="E77" i="5"/>
  <c r="J77" i="5" s="1"/>
  <c r="K77" i="5" s="1"/>
  <c r="E41" i="5"/>
  <c r="J41" i="5" s="1"/>
  <c r="K41" i="5" s="1"/>
  <c r="J45" i="5"/>
  <c r="K45" i="5" s="1"/>
  <c r="J65" i="5" l="1"/>
  <c r="K65" i="5" s="1"/>
  <c r="K30" i="8"/>
  <c r="AC29" i="8"/>
  <c r="AA32" i="8"/>
  <c r="P35" i="8"/>
  <c r="W34" i="8"/>
  <c r="AG35" i="8"/>
  <c r="AI35" i="8" s="1"/>
  <c r="AG34" i="8"/>
  <c r="AI34" i="8" s="1"/>
  <c r="H30" i="8"/>
  <c r="J30" i="8" s="1"/>
  <c r="AF36" i="8"/>
  <c r="X32" i="8"/>
  <c r="Z32" i="8" s="1"/>
  <c r="G30" i="8"/>
  <c r="S35" i="8"/>
  <c r="Z29" i="8"/>
  <c r="X33" i="8"/>
  <c r="Z33" i="8" s="1"/>
  <c r="N34" i="8"/>
  <c r="P34" i="8" s="1"/>
  <c r="AD37" i="8"/>
  <c r="AF37" i="8" s="1"/>
  <c r="K28" i="8"/>
  <c r="M28" i="8" s="1"/>
  <c r="M22" i="8" s="1"/>
  <c r="N37" i="8"/>
  <c r="P37" i="8" s="1"/>
  <c r="X36" i="8"/>
  <c r="Z36" i="8" s="1"/>
  <c r="S30" i="8"/>
  <c r="AG32" i="8"/>
  <c r="AI32" i="8" s="1"/>
  <c r="AA37" i="8"/>
  <c r="AC37" i="8" s="1"/>
  <c r="AF34" i="8"/>
  <c r="H28" i="8"/>
  <c r="J28" i="8" s="1"/>
  <c r="J22" i="8" s="1"/>
  <c r="S29" i="8"/>
  <c r="W37" i="8"/>
  <c r="AA36" i="8"/>
  <c r="AC36" i="8" s="1"/>
  <c r="AD31" i="8"/>
  <c r="AF31" i="8" s="1"/>
  <c r="AG37" i="8"/>
  <c r="AI37" i="8" s="1"/>
  <c r="P33" i="8"/>
  <c r="AI31" i="8"/>
  <c r="AD35" i="8"/>
  <c r="AF35" i="8" s="1"/>
  <c r="AA31" i="8"/>
  <c r="AC31" i="8" s="1"/>
  <c r="W35" i="8"/>
  <c r="X30" i="8"/>
  <c r="Z30" i="8" s="1"/>
  <c r="AA34" i="8"/>
  <c r="AC34" i="8" s="1"/>
  <c r="AD32" i="8"/>
  <c r="AF32" i="8" s="1"/>
  <c r="P29" i="8"/>
  <c r="K34" i="8"/>
  <c r="M34" i="8" s="1"/>
  <c r="W31" i="8"/>
  <c r="AA30" i="8"/>
  <c r="AC30" i="8" s="1"/>
  <c r="X31" i="8"/>
  <c r="Z31" i="8" s="1"/>
  <c r="G32" i="8"/>
  <c r="N32" i="8"/>
  <c r="P32" i="8" s="1"/>
  <c r="AG36" i="8"/>
  <c r="AI36" i="8" s="1"/>
  <c r="H34" i="8"/>
  <c r="J34" i="8" s="1"/>
  <c r="H32" i="8"/>
  <c r="J32" i="8" s="1"/>
  <c r="W36" i="8"/>
  <c r="Q34" i="8"/>
  <c r="S34" i="8" s="1"/>
  <c r="Q32" i="8"/>
  <c r="S32" i="8" s="1"/>
  <c r="AA35" i="8"/>
  <c r="AC35" i="8" s="1"/>
  <c r="AG30" i="8"/>
  <c r="AI30" i="8" s="1"/>
  <c r="X34" i="8"/>
  <c r="Z34" i="8" s="1"/>
  <c r="W30" i="8"/>
  <c r="K33" i="8"/>
  <c r="M33" i="8" s="1"/>
  <c r="Q33" i="8"/>
  <c r="S33" i="8" s="1"/>
  <c r="H33" i="8"/>
  <c r="J33" i="8" s="1"/>
  <c r="AD28" i="8"/>
  <c r="AF28" i="8" s="1"/>
  <c r="AF22" i="8" s="1"/>
  <c r="X28" i="8"/>
  <c r="Z28" i="8" s="1"/>
  <c r="Z22" i="8" s="1"/>
  <c r="AA28" i="8"/>
  <c r="AC28" i="8" s="1"/>
  <c r="AC22" i="8" s="1"/>
  <c r="Z37" i="8"/>
  <c r="N28" i="8"/>
  <c r="P28" i="8" s="1"/>
  <c r="P22" i="8" s="1"/>
  <c r="G28" i="8"/>
  <c r="G22" i="8" s="1"/>
  <c r="K37" i="8"/>
  <c r="M37" i="8" s="1"/>
  <c r="H37" i="8"/>
  <c r="J37" i="8" s="1"/>
  <c r="Q37" i="8"/>
  <c r="S37" i="8" s="1"/>
  <c r="K31" i="8"/>
  <c r="M31" i="8" s="1"/>
  <c r="H31" i="8"/>
  <c r="J31" i="8" s="1"/>
  <c r="Q31" i="8"/>
  <c r="S31" i="8" s="1"/>
  <c r="G33" i="8"/>
  <c r="P31" i="8"/>
  <c r="AG28" i="8"/>
  <c r="AI28" i="8" s="1"/>
  <c r="AH22" i="8" s="1"/>
  <c r="AI29" i="8"/>
  <c r="S36" i="8"/>
  <c r="AC32" i="8"/>
  <c r="M32" i="8"/>
  <c r="M30" i="8"/>
  <c r="AI33" i="8"/>
  <c r="F122" i="8"/>
  <c r="F113" i="8"/>
  <c r="L112" i="8"/>
  <c r="M112" i="8"/>
  <c r="K112" i="8"/>
  <c r="I112" i="8"/>
  <c r="N112" i="8"/>
  <c r="J112" i="8"/>
  <c r="N109" i="8"/>
  <c r="J109" i="8"/>
  <c r="M109" i="8"/>
  <c r="I109" i="8"/>
  <c r="K109" i="8"/>
  <c r="L109" i="8"/>
  <c r="L119" i="8"/>
  <c r="K119" i="8"/>
  <c r="I119" i="8"/>
  <c r="N119" i="8"/>
  <c r="J119" i="8"/>
  <c r="M119" i="8"/>
  <c r="L110" i="8"/>
  <c r="K110" i="8"/>
  <c r="I110" i="8"/>
  <c r="N110" i="8"/>
  <c r="J110" i="8"/>
  <c r="M110" i="8"/>
  <c r="N120" i="8"/>
  <c r="J120" i="8"/>
  <c r="M120" i="8"/>
  <c r="I120" i="8"/>
  <c r="K120" i="8"/>
  <c r="L120" i="8"/>
  <c r="E122" i="8"/>
  <c r="N111" i="8"/>
  <c r="J111" i="8"/>
  <c r="M111" i="8"/>
  <c r="I111" i="8"/>
  <c r="K111" i="8"/>
  <c r="L111" i="8"/>
  <c r="L121" i="8"/>
  <c r="K121" i="8"/>
  <c r="I121" i="8"/>
  <c r="N121" i="8"/>
  <c r="J121" i="8"/>
  <c r="M121" i="8"/>
  <c r="E113" i="8"/>
  <c r="L75" i="8"/>
  <c r="K75" i="8"/>
  <c r="M81" i="8"/>
  <c r="J75" i="8"/>
  <c r="K82" i="8"/>
  <c r="J82" i="8"/>
  <c r="I82" i="8"/>
  <c r="K81" i="8"/>
  <c r="J81" i="8"/>
  <c r="I81" i="8"/>
  <c r="M82" i="8"/>
  <c r="J83" i="8"/>
  <c r="I83" i="8"/>
  <c r="J80" i="8"/>
  <c r="I80" i="8"/>
  <c r="N82" i="8"/>
  <c r="K80" i="8"/>
  <c r="L80" i="8"/>
  <c r="M80" i="8"/>
  <c r="N80" i="8"/>
  <c r="F84" i="8"/>
  <c r="L77" i="8"/>
  <c r="M77" i="8"/>
  <c r="K77" i="8"/>
  <c r="J77" i="8"/>
  <c r="I77" i="8"/>
  <c r="M75" i="8"/>
  <c r="I75" i="8"/>
  <c r="L83" i="8"/>
  <c r="K83" i="8"/>
  <c r="N83" i="8"/>
  <c r="M83" i="8"/>
  <c r="E84" i="8"/>
  <c r="L76" i="8"/>
  <c r="N76" i="8"/>
  <c r="J76" i="8"/>
  <c r="M76" i="8"/>
  <c r="K76" i="8"/>
  <c r="I76" i="8"/>
  <c r="L78" i="8"/>
  <c r="K78" i="8"/>
  <c r="N78" i="8"/>
  <c r="J78" i="8"/>
  <c r="M78" i="8"/>
  <c r="I78" i="8"/>
  <c r="F69" i="8"/>
  <c r="E69" i="8"/>
  <c r="N66" i="8"/>
  <c r="L66" i="8"/>
  <c r="M66" i="8"/>
  <c r="K66" i="8"/>
  <c r="N65" i="8"/>
  <c r="L65" i="8"/>
  <c r="M65" i="8"/>
  <c r="K65" i="8"/>
  <c r="M64" i="8"/>
  <c r="K64" i="8"/>
  <c r="N64" i="8"/>
  <c r="L64" i="8"/>
  <c r="N63" i="8"/>
  <c r="L63" i="8"/>
  <c r="M63" i="8"/>
  <c r="K63" i="8"/>
  <c r="M68" i="8"/>
  <c r="K68" i="8"/>
  <c r="L68" i="8"/>
  <c r="N68" i="8"/>
  <c r="M67" i="8"/>
  <c r="K67" i="8"/>
  <c r="N67" i="8"/>
  <c r="L67" i="8"/>
  <c r="I63" i="8"/>
  <c r="J63" i="8"/>
  <c r="I66" i="8"/>
  <c r="J66" i="8"/>
  <c r="I68" i="8"/>
  <c r="J68" i="8"/>
  <c r="J67" i="8"/>
  <c r="I67" i="8"/>
  <c r="I65" i="8"/>
  <c r="J65" i="8"/>
  <c r="I64" i="8"/>
  <c r="J64" i="8"/>
  <c r="I122" i="8" l="1"/>
  <c r="I113" i="8"/>
  <c r="J113" i="8"/>
  <c r="J122" i="8"/>
  <c r="I84" i="8"/>
  <c r="J84" i="8"/>
  <c r="J69" i="8"/>
  <c r="I69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<sst xmlns="http://schemas.openxmlformats.org/spreadsheetml/2006/main" count="334" uniqueCount="168">
  <si>
    <t>Infant</t>
  </si>
  <si>
    <t>1-2</t>
  </si>
  <si>
    <t>Child</t>
  </si>
  <si>
    <t>3-8</t>
  </si>
  <si>
    <t>Pre-Teen</t>
  </si>
  <si>
    <t>9-12</t>
  </si>
  <si>
    <t>Teenager</t>
  </si>
  <si>
    <t>13-17</t>
  </si>
  <si>
    <t>Youth</t>
  </si>
  <si>
    <t>18-25</t>
  </si>
  <si>
    <t>Young Adult</t>
  </si>
  <si>
    <t>26-35</t>
  </si>
  <si>
    <t>Adult</t>
  </si>
  <si>
    <t>36-69</t>
  </si>
  <si>
    <t>Elderly</t>
  </si>
  <si>
    <t>70-80</t>
  </si>
  <si>
    <t>Old Adult</t>
  </si>
  <si>
    <t>Task Type</t>
  </si>
  <si>
    <t>Particulars</t>
  </si>
  <si>
    <t>Personal Care</t>
  </si>
  <si>
    <t>Changing diapers and potty training</t>
  </si>
  <si>
    <t>Reminding about medications for seniors</t>
  </si>
  <si>
    <t>Family Care</t>
  </si>
  <si>
    <t>Assisting with hosting guests (setting table, serving tea/coffee)</t>
  </si>
  <si>
    <t>Helping with children's homework/school prep</t>
  </si>
  <si>
    <t>Supervising playtime and babysitting</t>
  </si>
  <si>
    <t>Serving meals to family/guests</t>
  </si>
  <si>
    <t>Feeding and preparing simple meals for children</t>
  </si>
  <si>
    <t>Basic first aid for minor injuries</t>
  </si>
  <si>
    <t>Accompanying family on picnics</t>
  </si>
  <si>
    <t>Pet Care</t>
  </si>
  <si>
    <t>Feeding and walking pets</t>
  </si>
  <si>
    <t>Cleaning pet areas</t>
  </si>
  <si>
    <t>Cleaning</t>
  </si>
  <si>
    <t>Dusting furniture and surfaces</t>
  </si>
  <si>
    <t>Sweeping/vacuuming floors</t>
  </si>
  <si>
    <t>Mopping floors</t>
  </si>
  <si>
    <t>Scrubbing bathrooms (daily/deep cleaning</t>
  </si>
  <si>
    <t>Cleaning kitchen counters and appliances</t>
  </si>
  <si>
    <t>Emptying trash and waste disposal</t>
  </si>
  <si>
    <t>Washing windows and mirrors</t>
  </si>
  <si>
    <t>General tidying and organizing rooms</t>
  </si>
  <si>
    <t>Washing</t>
  </si>
  <si>
    <t>Washing dishes and kitchenware</t>
  </si>
  <si>
    <t>Washing and drying laundry</t>
  </si>
  <si>
    <t>Hand-washing delicate fabrics</t>
  </si>
  <si>
    <t>Manual car washing</t>
  </si>
  <si>
    <t>Ironing</t>
  </si>
  <si>
    <t>Ironing clothes</t>
  </si>
  <si>
    <t>Folding and storing laundry</t>
  </si>
  <si>
    <t>Cooking</t>
  </si>
  <si>
    <t>Preparing and cooking meals (Omani/Arabic/international)</t>
  </si>
  <si>
    <t>Shopping</t>
  </si>
  <si>
    <t>Grocery shopping and meal planning</t>
  </si>
  <si>
    <t>Home Maintenance</t>
  </si>
  <si>
    <t>Watering plants and basic garden maintenance</t>
  </si>
  <si>
    <t>Maintaining household appliances (e.g., cleaning fridge, microwave..</t>
  </si>
  <si>
    <t>Cleaning outdoor areas/pool (if applicable)</t>
  </si>
  <si>
    <t>Polishing silverware/furniture</t>
  </si>
  <si>
    <t>Arranging flowers or home decor</t>
  </si>
  <si>
    <t>Small Compound</t>
  </si>
  <si>
    <t xml:space="preserve">Single Floor </t>
  </si>
  <si>
    <t>Medium Compound</t>
  </si>
  <si>
    <t>Standard Villa</t>
  </si>
  <si>
    <t xml:space="preserve">Storied 600 - 800 SQM </t>
  </si>
  <si>
    <t>Large Compound</t>
  </si>
  <si>
    <t>Large Villa</t>
  </si>
  <si>
    <t xml:space="preserve">Storied 800 - 1000 SQM </t>
  </si>
  <si>
    <t>Swimming Pool</t>
  </si>
  <si>
    <t xml:space="preserve">Storied 1000+ SQM </t>
  </si>
  <si>
    <t>Vegetable Garden</t>
  </si>
  <si>
    <t>Flower Garden</t>
  </si>
  <si>
    <t>Grass Garden</t>
  </si>
  <si>
    <t>Equipped Kids Playgound</t>
  </si>
  <si>
    <t>Caged</t>
  </si>
  <si>
    <t>Free</t>
  </si>
  <si>
    <t>Hours Per Day</t>
  </si>
  <si>
    <t>Days a Month</t>
  </si>
  <si>
    <t>Total Hrs</t>
  </si>
  <si>
    <t>Baseline Salary (OMR)</t>
  </si>
  <si>
    <t>Age Range</t>
  </si>
  <si>
    <t>Standard Hourly Rate</t>
  </si>
  <si>
    <t>Hourly Rate / Disability Rating</t>
  </si>
  <si>
    <t>Hourly Rate / Sickly Rating</t>
  </si>
  <si>
    <t>Amount</t>
  </si>
  <si>
    <t>Daily (Hrs)</t>
  </si>
  <si>
    <t>Rate</t>
  </si>
  <si>
    <t>MILD</t>
  </si>
  <si>
    <t>NORMAL</t>
  </si>
  <si>
    <t>MODERATE</t>
  </si>
  <si>
    <t>SEVERE</t>
  </si>
  <si>
    <t>COMPLETE</t>
  </si>
  <si>
    <t>Multiplier</t>
  </si>
  <si>
    <t>&lt;1</t>
  </si>
  <si>
    <t>&gt;81</t>
  </si>
  <si>
    <t>Toddler</t>
  </si>
  <si>
    <t>Person</t>
  </si>
  <si>
    <t>Sal Multiplier</t>
  </si>
  <si>
    <t>Time Multiplier</t>
  </si>
  <si>
    <t>Total Compensation</t>
  </si>
  <si>
    <t>Tasks Pricing Model</t>
  </si>
  <si>
    <t>Other Tasks</t>
  </si>
  <si>
    <t>Entered manually within capacity limits</t>
  </si>
  <si>
    <t>Bathing and dressing children / babies</t>
  </si>
  <si>
    <t>Premium Multiplier</t>
  </si>
  <si>
    <t>Frequency</t>
  </si>
  <si>
    <t>Assisting elderly with  bathing</t>
  </si>
  <si>
    <t>Assisting elderly with mobility</t>
  </si>
  <si>
    <t>Mins</t>
  </si>
  <si>
    <t>in Hrs</t>
  </si>
  <si>
    <t>Monthly</t>
  </si>
  <si>
    <t>Baseline Package</t>
  </si>
  <si>
    <t>OMR</t>
  </si>
  <si>
    <t>Pet Care Pricing Model</t>
  </si>
  <si>
    <t>House Care Pricing Model</t>
  </si>
  <si>
    <t>Std Detatched</t>
  </si>
  <si>
    <t>Bedroom</t>
  </si>
  <si>
    <t>Bathroom</t>
  </si>
  <si>
    <t>Kitchen</t>
  </si>
  <si>
    <t>In Hrs</t>
  </si>
  <si>
    <t>Premium Time Factor (Hrs)</t>
  </si>
  <si>
    <t>Premium Price Factor (OMR)</t>
  </si>
  <si>
    <t>Room Type</t>
  </si>
  <si>
    <t>Kazipert Final SalCal Logic</t>
  </si>
  <si>
    <t>Sitting Room</t>
  </si>
  <si>
    <t>Dining Room</t>
  </si>
  <si>
    <t>Majlis Room</t>
  </si>
  <si>
    <t>Flat (Baseline)</t>
  </si>
  <si>
    <t>5 times a day</t>
  </si>
  <si>
    <t>4 times a day</t>
  </si>
  <si>
    <t>3 times a day</t>
  </si>
  <si>
    <t>2 times a day</t>
  </si>
  <si>
    <t>1 time a day</t>
  </si>
  <si>
    <t>1 time in two days</t>
  </si>
  <si>
    <t>1 time in 3 days</t>
  </si>
  <si>
    <t>1 time a week</t>
  </si>
  <si>
    <t>1 time in two weeks</t>
  </si>
  <si>
    <t>1 time in 3 weeks</t>
  </si>
  <si>
    <t>1 time a month</t>
  </si>
  <si>
    <t>1 time in 2 months</t>
  </si>
  <si>
    <t>Monthly Total</t>
  </si>
  <si>
    <t>Daily Total</t>
  </si>
  <si>
    <t>Monthly Ttl Hrs</t>
  </si>
  <si>
    <t>Daily Ttl Hrs</t>
  </si>
  <si>
    <t>Standard House</t>
  </si>
  <si>
    <t>Medium Villa</t>
  </si>
  <si>
    <t>Frequency Validator</t>
  </si>
  <si>
    <t>Flat  - Baseline</t>
  </si>
  <si>
    <t>No Compound  (3 BDR, 2 Bath, 1 Kit)</t>
  </si>
  <si>
    <t>House Features</t>
  </si>
  <si>
    <t>Other</t>
  </si>
  <si>
    <t>House Description Calculator</t>
  </si>
  <si>
    <t>House Features Description Calculator</t>
  </si>
  <si>
    <t>Task Frequency Calculator</t>
  </si>
  <si>
    <t>Pet Housing Description Calculator</t>
  </si>
  <si>
    <t>Pet Type</t>
  </si>
  <si>
    <t>Pet Housing Features</t>
  </si>
  <si>
    <t>Hybrid</t>
  </si>
  <si>
    <t>Animal - 4 legs on land</t>
  </si>
  <si>
    <t>Bird - 2 legs with wings</t>
  </si>
  <si>
    <t>Reptile - 4 legs land and water</t>
  </si>
  <si>
    <t>Fish - Water</t>
  </si>
  <si>
    <t>Full time</t>
  </si>
  <si>
    <t>Unrestricted  within compound</t>
  </si>
  <si>
    <t>Family Care Pricing Model</t>
  </si>
  <si>
    <t>Combined Cage &amp; Free</t>
  </si>
  <si>
    <t>Create a form to add new tasks as part of MVP testing phase, with fields: 1. Task, 2. estimate time to complete the task, 3. frequency dropdown</t>
  </si>
  <si>
    <t>1 time in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</si>
</sst>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_);_(* \(#,##0.000\);_(* &quot;-&quot;???_);_(@_)"/>
    <numFmt numFmtId="168" formatCode="_(* #,##0.0_);_(* \(#,##0.0\);_(* &quot;-&quot;???_);_(@_)"/>
    <numFmt numFmtId="169" formatCode="0.0"/>
    <numFmt numFmtId="170" formatCode="0.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0" fillId="0" borderId="6" xfId="0" applyBorder="1"/>
    <xf numFmtId="0" fontId="0" fillId="0" borderId="10" xfId="0" applyBorder="1"/>
    <xf numFmtId="0" fontId="2" fillId="8" borderId="2" xfId="0" applyFont="1" applyFill="1" applyBorder="1"/>
    <xf numFmtId="166" fontId="0" fillId="8" borderId="1" xfId="1" applyNumberFormat="1" applyFont="1" applyFill="1" applyBorder="1"/>
    <xf numFmtId="167" fontId="0" fillId="8" borderId="1" xfId="0" applyNumberFormat="1" applyFill="1" applyBorder="1"/>
    <xf numFmtId="164" fontId="0" fillId="8" borderId="1" xfId="1" applyNumberFormat="1" applyFont="1" applyFill="1" applyBorder="1"/>
    <xf numFmtId="0" fontId="0" fillId="0" borderId="19" xfId="0" applyBorder="1"/>
    <xf numFmtId="0" fontId="0" fillId="0" borderId="21" xfId="0" applyBorder="1"/>
    <xf numFmtId="0" fontId="5" fillId="9" borderId="7" xfId="0" applyFont="1" applyFill="1" applyBorder="1"/>
    <xf numFmtId="49" fontId="0" fillId="0" borderId="16" xfId="0" applyNumberFormat="1" applyBorder="1" applyAlignment="1">
      <alignment horizontal="center"/>
    </xf>
    <xf numFmtId="0" fontId="2" fillId="8" borderId="12" xfId="0" applyFont="1" applyFill="1" applyBorder="1"/>
    <xf numFmtId="166" fontId="0" fillId="8" borderId="6" xfId="1" applyNumberFormat="1" applyFont="1" applyFill="1" applyBorder="1"/>
    <xf numFmtId="166" fontId="0" fillId="8" borderId="10" xfId="1" applyNumberFormat="1" applyFont="1" applyFill="1" applyBorder="1"/>
    <xf numFmtId="164" fontId="0" fillId="8" borderId="8" xfId="1" applyNumberFormat="1" applyFont="1" applyFill="1" applyBorder="1"/>
    <xf numFmtId="166" fontId="0" fillId="8" borderId="8" xfId="1" applyNumberFormat="1" applyFont="1" applyFill="1" applyBorder="1"/>
    <xf numFmtId="167" fontId="0" fillId="8" borderId="8" xfId="0" applyNumberFormat="1" applyFill="1" applyBorder="1"/>
    <xf numFmtId="2" fontId="6" fillId="10" borderId="7" xfId="0" applyNumberFormat="1" applyFont="1" applyFill="1" applyBorder="1"/>
    <xf numFmtId="2" fontId="6" fillId="10" borderId="11" xfId="0" applyNumberFormat="1" applyFont="1" applyFill="1" applyBorder="1"/>
    <xf numFmtId="168" fontId="0" fillId="8" borderId="1" xfId="0" applyNumberFormat="1" applyFill="1" applyBorder="1"/>
    <xf numFmtId="168" fontId="0" fillId="8" borderId="8" xfId="0" applyNumberFormat="1" applyFill="1" applyBorder="1"/>
    <xf numFmtId="0" fontId="2" fillId="7" borderId="18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4" borderId="1" xfId="0" applyFont="1" applyFill="1" applyBorder="1"/>
    <xf numFmtId="0" fontId="0" fillId="0" borderId="0" xfId="0" applyAlignment="1"/>
    <xf numFmtId="0" fontId="9" fillId="0" borderId="0" xfId="0" applyFont="1" applyAlignment="1"/>
    <xf numFmtId="0" fontId="4" fillId="0" borderId="0" xfId="0" applyFont="1" applyAlignment="1"/>
    <xf numFmtId="0" fontId="11" fillId="0" borderId="0" xfId="0" applyFont="1" applyAlignment="1"/>
    <xf numFmtId="0" fontId="2" fillId="11" borderId="1" xfId="0" applyFont="1" applyFill="1" applyBorder="1" applyAlignment="1"/>
    <xf numFmtId="0" fontId="0" fillId="6" borderId="1" xfId="0" applyFill="1" applyBorder="1" applyAlignment="1"/>
    <xf numFmtId="166" fontId="2" fillId="6" borderId="1" xfId="1" applyNumberFormat="1" applyFont="1" applyFill="1" applyBorder="1" applyAlignment="1"/>
    <xf numFmtId="0" fontId="0" fillId="0" borderId="1" xfId="0" applyBorder="1" applyAlignment="1"/>
    <xf numFmtId="169" fontId="0" fillId="0" borderId="1" xfId="0" applyNumberFormat="1" applyBorder="1" applyAlignment="1"/>
    <xf numFmtId="166" fontId="0" fillId="0" borderId="1" xfId="0" applyNumberFormat="1" applyBorder="1" applyAlignment="1"/>
    <xf numFmtId="170" fontId="0" fillId="0" borderId="1" xfId="0" applyNumberFormat="1" applyBorder="1" applyAlignment="1"/>
    <xf numFmtId="43" fontId="0" fillId="0" borderId="1" xfId="0" applyNumberFormat="1" applyBorder="1" applyAlignment="1"/>
    <xf numFmtId="165" fontId="0" fillId="6" borderId="1" xfId="1" applyNumberFormat="1" applyFont="1" applyFill="1" applyBorder="1" applyAlignment="1"/>
    <xf numFmtId="166" fontId="1" fillId="6" borderId="1" xfId="1" applyNumberFormat="1" applyFont="1" applyFill="1" applyBorder="1" applyAlignment="1"/>
    <xf numFmtId="0" fontId="2" fillId="5" borderId="1" xfId="0" applyFont="1" applyFill="1" applyBorder="1" applyAlignment="1"/>
    <xf numFmtId="2" fontId="0" fillId="0" borderId="1" xfId="0" applyNumberFormat="1" applyBorder="1" applyAlignment="1"/>
    <xf numFmtId="166" fontId="0" fillId="11" borderId="1" xfId="0" applyNumberFormat="1" applyFill="1" applyBorder="1" applyAlignment="1"/>
    <xf numFmtId="0" fontId="2" fillId="13" borderId="1" xfId="0" applyFont="1" applyFill="1" applyBorder="1" applyAlignment="1"/>
    <xf numFmtId="2" fontId="0" fillId="0" borderId="0" xfId="0" applyNumberFormat="1" applyAlignment="1"/>
    <xf numFmtId="164" fontId="0" fillId="6" borderId="1" xfId="0" applyNumberFormat="1" applyFill="1" applyBorder="1" applyAlignment="1"/>
    <xf numFmtId="0" fontId="0" fillId="6" borderId="1" xfId="0" applyFont="1" applyFill="1" applyBorder="1" applyAlignment="1"/>
    <xf numFmtId="0" fontId="0" fillId="0" borderId="24" xfId="0" applyBorder="1" applyAlignment="1"/>
    <xf numFmtId="0" fontId="0" fillId="0" borderId="25" xfId="0" applyBorder="1" applyAlignment="1"/>
    <xf numFmtId="0" fontId="6" fillId="9" borderId="25" xfId="0" applyFont="1" applyFill="1" applyBorder="1" applyAlignment="1"/>
    <xf numFmtId="2" fontId="6" fillId="9" borderId="4" xfId="0" applyNumberFormat="1" applyFont="1" applyFill="1" applyBorder="1" applyAlignment="1"/>
    <xf numFmtId="2" fontId="6" fillId="9" borderId="5" xfId="0" applyNumberFormat="1" applyFont="1" applyFill="1" applyBorder="1" applyAlignment="1"/>
    <xf numFmtId="0" fontId="0" fillId="0" borderId="26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6" xfId="0" applyFill="1" applyBorder="1" applyAlignment="1"/>
    <xf numFmtId="0" fontId="0" fillId="0" borderId="27" xfId="0" applyBorder="1" applyAlignment="1"/>
    <xf numFmtId="0" fontId="0" fillId="0" borderId="23" xfId="0" applyBorder="1" applyAlignment="1"/>
    <xf numFmtId="0" fontId="0" fillId="0" borderId="28" xfId="0" applyBorder="1" applyAlignment="1"/>
    <xf numFmtId="0" fontId="0" fillId="0" borderId="18" xfId="0" applyBorder="1" applyAlignment="1"/>
    <xf numFmtId="0" fontId="0" fillId="0" borderId="6" xfId="0" applyFill="1" applyBorder="1"/>
    <xf numFmtId="0" fontId="0" fillId="0" borderId="10" xfId="0" applyBorder="1" applyAlignment="1"/>
    <xf numFmtId="0" fontId="0" fillId="0" borderId="0" xfId="0" applyFill="1" applyAlignmen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0" fontId="0" fillId="0" borderId="21" xfId="0" applyBorder="1" applyAlignment="1"/>
    <xf numFmtId="2" fontId="0" fillId="0" borderId="0" xfId="0" applyNumberFormat="1" applyBorder="1" applyAlignment="1"/>
    <xf numFmtId="0" fontId="0" fillId="0" borderId="26" xfId="0" applyFill="1" applyBorder="1" applyAlignment="1"/>
    <xf numFmtId="0" fontId="11" fillId="0" borderId="26" xfId="0" applyFont="1" applyBorder="1" applyAlignment="1"/>
    <xf numFmtId="0" fontId="11" fillId="0" borderId="0" xfId="0" applyFont="1" applyBorder="1" applyAlignment="1"/>
    <xf numFmtId="0" fontId="11" fillId="0" borderId="21" xfId="0" applyFont="1" applyBorder="1" applyAlignment="1"/>
    <xf numFmtId="0" fontId="0" fillId="2" borderId="6" xfId="0" applyFill="1" applyBorder="1" applyAlignment="1"/>
    <xf numFmtId="164" fontId="0" fillId="2" borderId="1" xfId="0" applyNumberFormat="1" applyFill="1" applyBorder="1" applyAlignment="1"/>
    <xf numFmtId="0" fontId="0" fillId="2" borderId="6" xfId="0" applyFont="1" applyFill="1" applyBorder="1" applyAlignment="1"/>
    <xf numFmtId="2" fontId="0" fillId="0" borderId="0" xfId="0" applyNumberFormat="1" applyFill="1" applyBorder="1" applyAlignment="1"/>
    <xf numFmtId="0" fontId="7" fillId="0" borderId="0" xfId="0" applyFont="1" applyFill="1" applyBorder="1"/>
    <xf numFmtId="0" fontId="0" fillId="2" borderId="1" xfId="0" applyFill="1" applyBorder="1" applyAlignment="1"/>
    <xf numFmtId="0" fontId="7" fillId="2" borderId="1" xfId="0" applyFont="1" applyFill="1" applyBorder="1"/>
    <xf numFmtId="2" fontId="0" fillId="2" borderId="1" xfId="0" applyNumberFormat="1" applyFill="1" applyBorder="1" applyAlignment="1"/>
    <xf numFmtId="0" fontId="2" fillId="7" borderId="1" xfId="0" applyFont="1" applyFill="1" applyBorder="1" applyAlignment="1"/>
    <xf numFmtId="166" fontId="0" fillId="2" borderId="1" xfId="0" applyNumberFormat="1" applyFill="1" applyBorder="1" applyAlignment="1"/>
    <xf numFmtId="0" fontId="0" fillId="0" borderId="0" xfId="0" applyBorder="1"/>
    <xf numFmtId="166" fontId="1" fillId="0" borderId="0" xfId="1" applyNumberFormat="1" applyFont="1" applyFill="1" applyBorder="1" applyAlignment="1"/>
    <xf numFmtId="0" fontId="2" fillId="5" borderId="12" xfId="0" applyFont="1" applyFill="1" applyBorder="1"/>
    <xf numFmtId="0" fontId="2" fillId="5" borderId="2" xfId="0" applyFont="1" applyFill="1" applyBorder="1"/>
    <xf numFmtId="166" fontId="0" fillId="5" borderId="6" xfId="1" applyNumberFormat="1" applyFont="1" applyFill="1" applyBorder="1"/>
    <xf numFmtId="164" fontId="0" fillId="5" borderId="1" xfId="1" applyNumberFormat="1" applyFont="1" applyFill="1" applyBorder="1"/>
    <xf numFmtId="166" fontId="0" fillId="5" borderId="1" xfId="1" applyNumberFormat="1" applyFont="1" applyFill="1" applyBorder="1"/>
    <xf numFmtId="167" fontId="0" fillId="5" borderId="1" xfId="0" applyNumberFormat="1" applyFill="1" applyBorder="1"/>
    <xf numFmtId="168" fontId="0" fillId="5" borderId="1" xfId="0" applyNumberFormat="1" applyFill="1" applyBorder="1"/>
    <xf numFmtId="166" fontId="0" fillId="5" borderId="10" xfId="1" applyNumberFormat="1" applyFont="1" applyFill="1" applyBorder="1"/>
    <xf numFmtId="164" fontId="0" fillId="5" borderId="8" xfId="1" applyNumberFormat="1" applyFont="1" applyFill="1" applyBorder="1"/>
    <xf numFmtId="166" fontId="0" fillId="5" borderId="8" xfId="1" applyNumberFormat="1" applyFont="1" applyFill="1" applyBorder="1"/>
    <xf numFmtId="167" fontId="0" fillId="5" borderId="8" xfId="0" applyNumberFormat="1" applyFill="1" applyBorder="1"/>
    <xf numFmtId="168" fontId="0" fillId="5" borderId="8" xfId="0" applyNumberFormat="1" applyFill="1" applyBorder="1"/>
    <xf numFmtId="2" fontId="0" fillId="5" borderId="1" xfId="0" applyNumberFormat="1" applyFill="1" applyBorder="1" applyAlignment="1"/>
    <xf numFmtId="2" fontId="0" fillId="5" borderId="7" xfId="0" applyNumberFormat="1" applyFill="1" applyBorder="1" applyAlignment="1"/>
    <xf numFmtId="0" fontId="2" fillId="20" borderId="1" xfId="0" applyFont="1" applyFill="1" applyBorder="1" applyAlignment="1"/>
    <xf numFmtId="0" fontId="2" fillId="20" borderId="7" xfId="0" applyFont="1" applyFill="1" applyBorder="1" applyAlignment="1"/>
    <xf numFmtId="0" fontId="0" fillId="5" borderId="1" xfId="0" applyFill="1" applyBorder="1" applyAlignment="1"/>
    <xf numFmtId="0" fontId="0" fillId="11" borderId="1" xfId="0" applyFill="1" applyBorder="1" applyAlignment="1"/>
    <xf numFmtId="0" fontId="3" fillId="13" borderId="6" xfId="0" applyFont="1" applyFill="1" applyBorder="1" applyAlignment="1"/>
    <xf numFmtId="0" fontId="2" fillId="13" borderId="1" xfId="0" applyFont="1" applyFill="1" applyBorder="1" applyAlignment="1">
      <alignment horizontal="center" vertical="center"/>
    </xf>
    <xf numFmtId="169" fontId="2" fillId="13" borderId="8" xfId="0" applyNumberFormat="1" applyFont="1" applyFill="1" applyBorder="1" applyAlignment="1"/>
    <xf numFmtId="166" fontId="2" fillId="13" borderId="8" xfId="0" applyNumberFormat="1" applyFont="1" applyFill="1" applyBorder="1" applyAlignment="1"/>
    <xf numFmtId="0" fontId="2" fillId="13" borderId="8" xfId="0" applyFont="1" applyFill="1" applyBorder="1" applyAlignment="1"/>
    <xf numFmtId="170" fontId="2" fillId="13" borderId="8" xfId="0" applyNumberFormat="1" applyFont="1" applyFill="1" applyBorder="1" applyAlignment="1"/>
    <xf numFmtId="43" fontId="2" fillId="13" borderId="8" xfId="0" applyNumberFormat="1" applyFont="1" applyFill="1" applyBorder="1" applyAlignment="1"/>
    <xf numFmtId="0" fontId="2" fillId="13" borderId="18" xfId="0" applyFont="1" applyFill="1" applyBorder="1" applyAlignment="1">
      <alignment horizontal="center"/>
    </xf>
    <xf numFmtId="0" fontId="2" fillId="13" borderId="16" xfId="0" applyFont="1" applyFill="1" applyBorder="1" applyAlignment="1"/>
    <xf numFmtId="0" fontId="0" fillId="11" borderId="6" xfId="0" applyFill="1" applyBorder="1" applyAlignment="1"/>
    <xf numFmtId="164" fontId="0" fillId="11" borderId="1" xfId="0" applyNumberFormat="1" applyFill="1" applyBorder="1" applyAlignment="1"/>
    <xf numFmtId="0" fontId="0" fillId="11" borderId="6" xfId="0" applyFont="1" applyFill="1" applyBorder="1" applyAlignment="1"/>
    <xf numFmtId="0" fontId="7" fillId="11" borderId="1" xfId="0" applyFont="1" applyFill="1" applyBorder="1"/>
    <xf numFmtId="2" fontId="0" fillId="11" borderId="1" xfId="0" applyNumberFormat="1" applyFill="1" applyBorder="1" applyAlignment="1"/>
    <xf numFmtId="0" fontId="0" fillId="11" borderId="1" xfId="0" applyFill="1" applyBorder="1"/>
    <xf numFmtId="0" fontId="0" fillId="8" borderId="1" xfId="0" applyFill="1" applyBorder="1" applyAlignment="1"/>
    <xf numFmtId="166" fontId="2" fillId="8" borderId="1" xfId="1" applyNumberFormat="1" applyFont="1" applyFill="1" applyBorder="1" applyAlignment="1"/>
    <xf numFmtId="165" fontId="0" fillId="8" borderId="1" xfId="1" applyNumberFormat="1" applyFont="1" applyFill="1" applyBorder="1" applyAlignment="1"/>
    <xf numFmtId="166" fontId="1" fillId="8" borderId="1" xfId="1" applyNumberFormat="1" applyFont="1" applyFill="1" applyBorder="1" applyAlignment="1"/>
    <xf numFmtId="164" fontId="0" fillId="8" borderId="1" xfId="0" applyNumberFormat="1" applyFill="1" applyBorder="1" applyAlignment="1"/>
    <xf numFmtId="0" fontId="0" fillId="8" borderId="1" xfId="0" applyFont="1" applyFill="1" applyBorder="1" applyAlignment="1"/>
    <xf numFmtId="0" fontId="3" fillId="2" borderId="6" xfId="0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169" fontId="2" fillId="2" borderId="8" xfId="0" applyNumberFormat="1" applyFont="1" applyFill="1" applyBorder="1" applyAlignment="1"/>
    <xf numFmtId="166" fontId="2" fillId="2" borderId="8" xfId="0" applyNumberFormat="1" applyFont="1" applyFill="1" applyBorder="1" applyAlignment="1"/>
    <xf numFmtId="0" fontId="2" fillId="2" borderId="8" xfId="0" applyFont="1" applyFill="1" applyBorder="1" applyAlignment="1"/>
    <xf numFmtId="170" fontId="2" fillId="2" borderId="8" xfId="0" applyNumberFormat="1" applyFont="1" applyFill="1" applyBorder="1" applyAlignment="1"/>
    <xf numFmtId="43" fontId="2" fillId="2" borderId="8" xfId="0" applyNumberFormat="1" applyFont="1" applyFill="1" applyBorder="1" applyAlignment="1"/>
    <xf numFmtId="0" fontId="0" fillId="18" borderId="25" xfId="0" applyFill="1" applyBorder="1"/>
    <xf numFmtId="0" fontId="0" fillId="18" borderId="19" xfId="0" applyFill="1" applyBorder="1"/>
    <xf numFmtId="0" fontId="0" fillId="0" borderId="26" xfId="0" applyBorder="1"/>
    <xf numFmtId="0" fontId="7" fillId="8" borderId="0" xfId="0" applyFont="1" applyFill="1" applyBorder="1"/>
    <xf numFmtId="165" fontId="8" fillId="8" borderId="0" xfId="0" applyNumberFormat="1" applyFont="1" applyFill="1" applyBorder="1"/>
    <xf numFmtId="0" fontId="2" fillId="5" borderId="13" xfId="0" applyFont="1" applyFill="1" applyBorder="1"/>
    <xf numFmtId="167" fontId="0" fillId="5" borderId="7" xfId="0" applyNumberFormat="1" applyFill="1" applyBorder="1"/>
    <xf numFmtId="49" fontId="0" fillId="0" borderId="30" xfId="0" applyNumberFormat="1" applyBorder="1" applyAlignment="1">
      <alignment horizontal="center"/>
    </xf>
    <xf numFmtId="167" fontId="0" fillId="5" borderId="11" xfId="0" applyNumberFormat="1" applyFill="1" applyBorder="1"/>
    <xf numFmtId="0" fontId="4" fillId="18" borderId="24" xfId="0" applyFont="1" applyFill="1" applyBorder="1"/>
    <xf numFmtId="0" fontId="2" fillId="4" borderId="6" xfId="0" applyFont="1" applyFill="1" applyBorder="1"/>
    <xf numFmtId="0" fontId="10" fillId="0" borderId="0" xfId="0" applyFont="1" applyBorder="1" applyAlignment="1"/>
    <xf numFmtId="0" fontId="4" fillId="15" borderId="24" xfId="0" applyFont="1" applyFill="1" applyBorder="1"/>
    <xf numFmtId="0" fontId="0" fillId="15" borderId="25" xfId="0" applyFill="1" applyBorder="1" applyAlignment="1"/>
    <xf numFmtId="0" fontId="0" fillId="15" borderId="19" xfId="0" applyFill="1" applyBorder="1" applyAlignment="1"/>
    <xf numFmtId="0" fontId="0" fillId="11" borderId="8" xfId="0" applyFill="1" applyBorder="1" applyAlignment="1"/>
    <xf numFmtId="0" fontId="0" fillId="5" borderId="8" xfId="0" applyFill="1" applyBorder="1" applyAlignment="1"/>
    <xf numFmtId="0" fontId="0" fillId="5" borderId="11" xfId="0" applyFill="1" applyBorder="1" applyAlignment="1"/>
    <xf numFmtId="0" fontId="4" fillId="17" borderId="24" xfId="0" applyFont="1" applyFill="1" applyBorder="1"/>
    <xf numFmtId="0" fontId="0" fillId="17" borderId="25" xfId="0" applyFill="1" applyBorder="1" applyAlignment="1"/>
    <xf numFmtId="0" fontId="0" fillId="17" borderId="19" xfId="0" applyFill="1" applyBorder="1" applyAlignment="1"/>
    <xf numFmtId="0" fontId="0" fillId="5" borderId="7" xfId="0" applyFill="1" applyBorder="1" applyAlignment="1"/>
    <xf numFmtId="0" fontId="0" fillId="2" borderId="8" xfId="0" applyFill="1" applyBorder="1" applyAlignment="1"/>
    <xf numFmtId="0" fontId="0" fillId="12" borderId="8" xfId="0" applyFill="1" applyBorder="1" applyAlignment="1"/>
    <xf numFmtId="0" fontId="0" fillId="12" borderId="11" xfId="0" applyFill="1" applyBorder="1" applyAlignment="1"/>
    <xf numFmtId="0" fontId="7" fillId="0" borderId="0" xfId="0" applyFont="1" applyFill="1" applyAlignment="1"/>
    <xf numFmtId="0" fontId="2" fillId="8" borderId="1" xfId="0" applyFont="1" applyFill="1" applyBorder="1" applyAlignment="1"/>
    <xf numFmtId="0" fontId="8" fillId="0" borderId="1" xfId="0" applyFont="1" applyBorder="1" applyAlignment="1">
      <alignment horizontal="right"/>
    </xf>
    <xf numFmtId="0" fontId="2" fillId="0" borderId="1" xfId="0" applyFont="1" applyBorder="1" applyAlignment="1"/>
    <xf numFmtId="2" fontId="6" fillId="10" borderId="16" xfId="0" applyNumberFormat="1" applyFont="1" applyFill="1" applyBorder="1" applyAlignment="1"/>
    <xf numFmtId="2" fontId="0" fillId="8" borderId="1" xfId="0" applyNumberFormat="1" applyFill="1" applyBorder="1" applyAlignment="1"/>
    <xf numFmtId="0" fontId="0" fillId="0" borderId="1" xfId="0" applyBorder="1" applyAlignment="1">
      <alignment horizontal="left" vertical="top"/>
    </xf>
    <xf numFmtId="166" fontId="0" fillId="8" borderId="1" xfId="0" applyNumberFormat="1" applyFill="1" applyBorder="1" applyAlignment="1"/>
    <xf numFmtId="0" fontId="8" fillId="0" borderId="1" xfId="0" applyFon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166" fontId="0" fillId="8" borderId="1" xfId="1" applyNumberFormat="1" applyFont="1" applyFill="1" applyBorder="1" applyAlignment="1"/>
    <xf numFmtId="1" fontId="0" fillId="11" borderId="1" xfId="0" applyNumberFormat="1" applyFill="1" applyBorder="1" applyAlignment="1"/>
    <xf numFmtId="0" fontId="0" fillId="3" borderId="1" xfId="0" applyFill="1" applyBorder="1" applyAlignment="1">
      <alignment horizontal="left" vertical="top"/>
    </xf>
    <xf numFmtId="0" fontId="7" fillId="0" borderId="0" xfId="0" applyFont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5" fillId="9" borderId="1" xfId="0" applyFont="1" applyFill="1" applyBorder="1" applyAlignment="1"/>
    <xf numFmtId="2" fontId="6" fillId="10" borderId="1" xfId="0" applyNumberFormat="1" applyFont="1" applyFill="1" applyBorder="1" applyAlignment="1"/>
    <xf numFmtId="0" fontId="12" fillId="0" borderId="0" xfId="0" applyFont="1" applyAlignment="1"/>
    <xf numFmtId="170" fontId="0" fillId="8" borderId="1" xfId="0" applyNumberFormat="1" applyFill="1" applyBorder="1" applyAlignment="1"/>
    <xf numFmtId="0" fontId="2" fillId="13" borderId="16" xfId="0" applyFont="1" applyFill="1" applyBorder="1" applyAlignment="1">
      <alignment horizontal="center"/>
    </xf>
    <xf numFmtId="0" fontId="2" fillId="13" borderId="17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10" fillId="0" borderId="32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2" fillId="15" borderId="1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9" borderId="16" xfId="0" applyFont="1" applyFill="1" applyBorder="1" applyAlignment="1">
      <alignment horizontal="center"/>
    </xf>
    <xf numFmtId="0" fontId="2" fillId="19" borderId="17" xfId="0" applyFont="1" applyFill="1" applyBorder="1" applyAlignment="1">
      <alignment horizontal="center"/>
    </xf>
    <xf numFmtId="0" fontId="2" fillId="19" borderId="18" xfId="0" applyFont="1" applyFill="1" applyBorder="1" applyAlignment="1">
      <alignment horizontal="center"/>
    </xf>
    <xf numFmtId="0" fontId="2" fillId="19" borderId="29" xfId="0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  <xf numFmtId="0" fontId="2" fillId="20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19" borderId="20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">
  <rv s="0">
    <v>en-US</v>
    <v>avnru2</v>
    <v>268435456</v>
    <v>1</v>
    <v>Powered by Refinitiv</v>
    <v>0</v>
    <v>OMR/KES</v>
    <v>2</v>
    <v>3</v>
    <v>Finance</v>
    <v>4</v>
    <v>337.64</v>
    <v>333.08</v>
    <v>-0.78</v>
    <v>-2.3150000000000002E-3</v>
    <v>KES</v>
    <v>OMR</v>
    <v>Currency Pair</v>
    <v>45989.916539351849</v>
    <v>Omani Rial/Kenyan Shilling FX Cross Rate</v>
    <v>336.87</v>
    <v>336.09</v>
    <v>OMRKES</v>
    <v>OMR/KES</v>
  </rv>
  <rv s="1">
    <v>0</v>
  </rv>
  <rv s="2">
    <v>12</v>
    <v>Price</v>
    <v>0</v>
  </rv>
</rvData>
</file>

<file path=xl/richData/rdrichvaluestructure.xml><?xml version="1.0" encoding="utf-8"?>
<rvStructures xmlns="http://schemas.microsoft.com/office/spreadsheetml/2017/richdata" count="3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  <s t="_error">
    <k n="errorType" t="i"/>
    <k n="field" t="s"/>
    <k n="subType" t="i"/>
  </s>
</rvStructures>
</file>

<file path=xl/richData/rdsupportingpropertybag.xml><?xml version="1.0" encoding="utf-8"?>
<supportingPropertyBags xmlns="http://schemas.microsoft.com/office/spreadsheetml/2017/richdata2">
  <spbArrays count="1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m/d/yyyy\ h:mm"/>
    </x:dxf>
    <x:dxf>
      <x:numFmt numFmtId="2" formatCode="0.00"/>
    </x:dxf>
  </dxfs>
  <richProperties>
    <rPr n="IsTitleField" t="b"/>
    <rPr n="NumberFormat" t="s"/>
  </richProperties>
  <richStyles>
    <rSty>
      <rpv i="0">1</rpv>
    </rSty>
    <rSty dxfid="0">
      <rpv i="1">_-[$Ksh-sw-KE] * #,##0.00_-;-[$Ksh-sw-KE] * #,##0.00_-;_-[$Ksh-sw-KE] * "-"??_-;_-@_-</rpv>
    </rSty>
    <rSty dxfid="1"/>
    <rSty dxfid="2"/>
    <rSty dxfid="3">
      <rpv i="1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32D0-313F-455B-8561-D19AEA56B964}">
  <dimension ref="A2:AI140"/>
  <sheetViews>
    <sheetView tabSelected="1" topLeftCell="A82" zoomScaleNormal="100" workbookViewId="0">
      <selection activeCell="F19" sqref="F19"/>
    </sheetView>
  </sheetViews>
  <sheetFormatPr defaultColWidth="9.125" defaultRowHeight="13.5"/>
  <cols>
    <col min="1" max="1" width="4.125" style="24" customWidth="1"/>
    <col min="2" max="2" width="39.6875" style="24" bestFit="1" customWidth="1"/>
    <col min="3" max="3" width="9" style="24" bestFit="1" customWidth="1"/>
    <col min="4" max="4" width="6.3125" style="24" bestFit="1" customWidth="1"/>
    <col min="5" max="5" width="15.125" style="24" bestFit="1" customWidth="1"/>
    <col min="6" max="6" width="33.6875" style="24" bestFit="1" customWidth="1"/>
    <col min="7" max="7" width="7" style="24" bestFit="1" customWidth="1"/>
    <col min="8" max="8" width="10.4375" style="24" bestFit="1" customWidth="1"/>
    <col min="9" max="9" width="23.6875" style="24" bestFit="1" customWidth="1"/>
    <col min="10" max="10" width="13.3125" style="24" bestFit="1" customWidth="1"/>
    <col min="11" max="11" width="14" style="24" bestFit="1" customWidth="1"/>
    <col min="12" max="12" width="15.4375" style="24" bestFit="1" customWidth="1"/>
    <col min="13" max="13" width="13.4375" style="24" bestFit="1" customWidth="1"/>
    <col min="14" max="14" width="10.125" style="24" bestFit="1" customWidth="1"/>
    <col min="15" max="16" width="14" style="24" bestFit="1" customWidth="1"/>
    <col min="17" max="17" width="13.4375" style="24" bestFit="1" customWidth="1"/>
    <col min="18" max="18" width="10.125" style="24" bestFit="1" customWidth="1"/>
    <col min="19" max="19" width="14" style="24" bestFit="1" customWidth="1"/>
    <col min="20" max="20" width="13.4375" style="24" bestFit="1" customWidth="1"/>
    <col min="21" max="21" width="10.125" style="24" bestFit="1" customWidth="1"/>
    <col min="22" max="22" width="9.125" style="24"/>
    <col min="23" max="23" width="18.125" style="24" bestFit="1" customWidth="1"/>
    <col min="24" max="24" width="7" style="24" bestFit="1" customWidth="1"/>
    <col min="25" max="25" width="9.125" style="24"/>
    <col min="26" max="26" width="15.125" style="24" bestFit="1" customWidth="1"/>
    <col min="27" max="27" width="33.6875" style="24" bestFit="1" customWidth="1"/>
    <col min="28" max="16384" width="9.125" style="24"/>
  </cols>
  <sheetData>
    <row r="2" spans="1:6" s="27" customFormat="1" ht="22.5">
      <c r="B2" s="27" t="s">
        <v>123</v>
      </c>
    </row>
    <row r="3" spans="1:6" s="25" customFormat="1" ht="15">
      <c r="E3" s="191" t="s">
        <v>153</v>
      </c>
      <c r="F3" s="191"/>
    </row>
    <row r="4" spans="1:6" ht="13.9">
      <c r="B4" s="114" t="s">
        <v>79</v>
      </c>
      <c r="C4" s="115">
        <v>90</v>
      </c>
      <c r="E4" s="192" t="s">
        <v>146</v>
      </c>
      <c r="F4" s="192"/>
    </row>
    <row r="5" spans="1:6">
      <c r="B5" s="114" t="s">
        <v>76</v>
      </c>
      <c r="C5" s="116">
        <v>12</v>
      </c>
      <c r="E5" s="114" t="s">
        <v>128</v>
      </c>
      <c r="F5" s="118">
        <f>$C$6*5</f>
        <v>130</v>
      </c>
    </row>
    <row r="6" spans="1:6">
      <c r="B6" s="114" t="s">
        <v>77</v>
      </c>
      <c r="C6" s="116">
        <v>26</v>
      </c>
      <c r="E6" s="119" t="s">
        <v>129</v>
      </c>
      <c r="F6" s="118">
        <f>$C$6*4</f>
        <v>104</v>
      </c>
    </row>
    <row r="7" spans="1:6">
      <c r="B7" s="114" t="s">
        <v>78</v>
      </c>
      <c r="C7" s="116">
        <f>C5*C6</f>
        <v>312</v>
      </c>
      <c r="E7" s="114" t="s">
        <v>130</v>
      </c>
      <c r="F7" s="118">
        <f>$C$6*3</f>
        <v>78</v>
      </c>
    </row>
    <row r="8" spans="1:6" ht="13.9">
      <c r="B8" s="114" t="s">
        <v>81</v>
      </c>
      <c r="C8" s="115">
        <f>C4/C7</f>
        <v>0.28846153846153844</v>
      </c>
      <c r="E8" s="114" t="s">
        <v>131</v>
      </c>
      <c r="F8" s="118">
        <f>$C$6*2</f>
        <v>52</v>
      </c>
    </row>
    <row r="9" spans="1:6">
      <c r="B9" s="114" t="e" vm="1">
        <v>#VALUE!</v>
      </c>
      <c r="C9" s="117" t="e" cm="1" vm="2">
        <f t="array" ref="C9">_FV(B9,"Price")</f>
        <v>#VALUE!</v>
      </c>
      <c r="E9" s="114" t="s">
        <v>132</v>
      </c>
      <c r="F9" s="118">
        <f>$C$6*1</f>
        <v>26</v>
      </c>
    </row>
    <row r="10" spans="1:6">
      <c r="A10" s="61"/>
      <c r="B10" s="61"/>
      <c r="C10" s="80"/>
      <c r="D10" s="51"/>
      <c r="E10" s="114" t="s">
        <v>133</v>
      </c>
      <c r="F10" s="118">
        <f>$C$6*1/2</f>
        <v>13</v>
      </c>
    </row>
    <row r="11" spans="1:6">
      <c r="A11" s="61"/>
      <c r="B11" s="61"/>
      <c r="C11" s="80"/>
      <c r="D11" s="51"/>
      <c r="E11" s="114" t="s">
        <v>134</v>
      </c>
      <c r="F11" s="118">
        <f>$C$6*1/3</f>
        <v>8.6666666666666661</v>
      </c>
    </row>
    <row r="12" spans="1:6">
      <c r="A12" s="61"/>
      <c r="B12" s="61"/>
      <c r="C12" s="80"/>
      <c r="D12" s="51"/>
      <c r="E12" s="114" t="s">
        <v>135</v>
      </c>
      <c r="F12" s="118">
        <f>$C$6*1/6</f>
        <v>4.333333333333333</v>
      </c>
    </row>
    <row r="13" spans="1:6">
      <c r="A13" s="61"/>
      <c r="B13" s="61"/>
      <c r="C13" s="80"/>
      <c r="D13" s="51"/>
      <c r="E13" s="114" t="s">
        <v>136</v>
      </c>
      <c r="F13" s="118">
        <f>$C$6*1/14</f>
        <v>1.8571428571428572</v>
      </c>
    </row>
    <row r="14" spans="1:6">
      <c r="A14" s="61"/>
      <c r="B14" s="61"/>
      <c r="C14" s="80"/>
      <c r="D14" s="51"/>
      <c r="E14" s="114" t="s">
        <v>137</v>
      </c>
      <c r="F14" s="118">
        <f>$C$6*1/21</f>
        <v>1.2380952380952381</v>
      </c>
    </row>
    <row r="15" spans="1:6">
      <c r="A15" s="61"/>
      <c r="B15" s="61"/>
      <c r="C15" s="80"/>
      <c r="D15" s="51"/>
      <c r="E15" s="114" t="s">
        <v>138</v>
      </c>
      <c r="F15" s="118">
        <f>$C$6*1/26</f>
        <v>1</v>
      </c>
    </row>
    <row r="16" spans="1:6">
      <c r="A16" s="61"/>
      <c r="B16" s="61"/>
      <c r="C16" s="80"/>
      <c r="D16" s="51"/>
      <c r="E16" s="114" t="s">
        <v>139</v>
      </c>
      <c r="F16" s="118">
        <f>$C$6*1/52</f>
        <v>0.5</v>
      </c>
    </row>
    <row r="17" spans="1:35">
      <c r="A17" s="61"/>
      <c r="B17" s="61"/>
      <c r="C17" s="80"/>
      <c r="D17" s="51"/>
    </row>
    <row r="18" spans="1:35">
      <c r="A18" s="61"/>
      <c r="B18" s="61"/>
      <c r="C18" s="80"/>
      <c r="D18" s="51"/>
    </row>
    <row r="19" spans="1:35">
      <c r="A19" s="61"/>
      <c r="B19" s="61"/>
      <c r="C19" s="80"/>
      <c r="D19" s="51"/>
    </row>
    <row r="20" spans="1:35" ht="13.9" thickBot="1">
      <c r="A20" s="51"/>
      <c r="B20" s="51"/>
      <c r="C20" s="51"/>
      <c r="D20" s="51"/>
    </row>
    <row r="21" spans="1:35" customFormat="1" ht="20.65">
      <c r="B21" s="137" t="s">
        <v>164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9"/>
    </row>
    <row r="22" spans="1:35" customFormat="1" ht="13.9">
      <c r="B22" s="130"/>
      <c r="C22" s="79"/>
      <c r="D22" s="79"/>
      <c r="E22" s="79"/>
      <c r="F22" s="131" t="s">
        <v>99</v>
      </c>
      <c r="G22" s="132">
        <f>G28*26</f>
        <v>33</v>
      </c>
      <c r="H22" s="132"/>
      <c r="I22" s="132"/>
      <c r="J22" s="132">
        <f>J28*26</f>
        <v>54.45</v>
      </c>
      <c r="K22" s="132"/>
      <c r="L22" s="132"/>
      <c r="M22" s="132">
        <f>M28*26</f>
        <v>66.41249999999998</v>
      </c>
      <c r="N22" s="132"/>
      <c r="O22" s="132"/>
      <c r="P22" s="132">
        <f>P28*26</f>
        <v>82.5</v>
      </c>
      <c r="Q22" s="132"/>
      <c r="R22" s="132">
        <f>S28*26</f>
        <v>115.49999999999999</v>
      </c>
      <c r="S22" s="79"/>
      <c r="T22" s="79"/>
      <c r="U22" s="79"/>
      <c r="V22" s="79"/>
      <c r="W22" s="132">
        <f>W28*26</f>
        <v>59.4</v>
      </c>
      <c r="X22" s="132"/>
      <c r="Y22" s="132"/>
      <c r="Z22" s="132">
        <f>Z28*26</f>
        <v>75.140999999999991</v>
      </c>
      <c r="AA22" s="132"/>
      <c r="AB22" s="132"/>
      <c r="AC22" s="132">
        <f>AC28*26</f>
        <v>102.46499999999997</v>
      </c>
      <c r="AD22" s="132"/>
      <c r="AE22" s="132"/>
      <c r="AF22" s="132">
        <f>AF28*26</f>
        <v>129.9375</v>
      </c>
      <c r="AG22" s="132"/>
      <c r="AH22" s="132">
        <f>AI28*26</f>
        <v>166.31999999999996</v>
      </c>
      <c r="AI22" s="8"/>
    </row>
    <row r="23" spans="1:35" customFormat="1" ht="13.9">
      <c r="B23" s="130"/>
      <c r="C23" s="79"/>
      <c r="D23" s="79"/>
      <c r="E23" s="79"/>
      <c r="F23" s="131" t="s">
        <v>97</v>
      </c>
      <c r="G23" s="131"/>
      <c r="H23" s="131">
        <v>1.1000000000000001</v>
      </c>
      <c r="I23" s="131"/>
      <c r="J23" s="131"/>
      <c r="K23" s="131">
        <v>1.1499999999999999</v>
      </c>
      <c r="L23" s="131"/>
      <c r="M23" s="131"/>
      <c r="N23" s="131">
        <v>1.25</v>
      </c>
      <c r="O23" s="131"/>
      <c r="P23" s="131"/>
      <c r="Q23" s="131">
        <v>1.4</v>
      </c>
      <c r="R23" s="131"/>
      <c r="S23" s="79"/>
      <c r="T23" s="79"/>
      <c r="U23" s="79"/>
      <c r="V23" s="79"/>
      <c r="W23" s="131"/>
      <c r="X23" s="131">
        <v>1.1000000000000001</v>
      </c>
      <c r="Y23" s="131"/>
      <c r="Z23" s="131"/>
      <c r="AA23" s="131">
        <v>1.1499999999999999</v>
      </c>
      <c r="AB23" s="131"/>
      <c r="AC23" s="131"/>
      <c r="AD23" s="131">
        <v>1.25</v>
      </c>
      <c r="AE23" s="131"/>
      <c r="AF23" s="131"/>
      <c r="AG23" s="131">
        <v>1.4</v>
      </c>
      <c r="AH23" s="131"/>
      <c r="AI23" s="8"/>
    </row>
    <row r="24" spans="1:35" customFormat="1" ht="14.25" thickBot="1">
      <c r="B24" s="130"/>
      <c r="C24" s="79"/>
      <c r="D24" s="79"/>
      <c r="E24" s="79"/>
      <c r="F24" s="131" t="s">
        <v>98</v>
      </c>
      <c r="G24" s="131"/>
      <c r="H24" s="131"/>
      <c r="I24" s="131">
        <v>1.5</v>
      </c>
      <c r="J24" s="131"/>
      <c r="K24" s="131"/>
      <c r="L24" s="131">
        <v>1.75</v>
      </c>
      <c r="M24" s="131"/>
      <c r="N24" s="131"/>
      <c r="O24" s="131">
        <v>2</v>
      </c>
      <c r="P24" s="131"/>
      <c r="Q24" s="131"/>
      <c r="R24" s="131">
        <v>2.5</v>
      </c>
      <c r="S24" s="79"/>
      <c r="T24" s="79"/>
      <c r="U24" s="79"/>
      <c r="V24" s="79"/>
      <c r="W24" s="131"/>
      <c r="X24" s="131"/>
      <c r="Y24" s="131">
        <v>1.1499999999999999</v>
      </c>
      <c r="Z24" s="131"/>
      <c r="AA24" s="131"/>
      <c r="AB24" s="131">
        <v>1.5</v>
      </c>
      <c r="AC24" s="131"/>
      <c r="AD24" s="131"/>
      <c r="AE24" s="131">
        <v>1.75</v>
      </c>
      <c r="AF24" s="131"/>
      <c r="AG24" s="131"/>
      <c r="AH24" s="131">
        <v>2</v>
      </c>
      <c r="AI24" s="8"/>
    </row>
    <row r="25" spans="1:35" customFormat="1" ht="13.9">
      <c r="B25" s="130"/>
      <c r="C25" s="79"/>
      <c r="D25" s="79"/>
      <c r="E25" s="193" t="s">
        <v>82</v>
      </c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5"/>
      <c r="T25" s="7"/>
      <c r="U25" s="196" t="s">
        <v>83</v>
      </c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8"/>
    </row>
    <row r="26" spans="1:35" customFormat="1" ht="13.9">
      <c r="B26" s="130"/>
      <c r="C26" s="79"/>
      <c r="D26" s="79"/>
      <c r="E26" s="199" t="s">
        <v>88</v>
      </c>
      <c r="F26" s="192"/>
      <c r="G26" s="192"/>
      <c r="H26" s="192" t="s">
        <v>87</v>
      </c>
      <c r="I26" s="192"/>
      <c r="J26" s="192"/>
      <c r="K26" s="192" t="s">
        <v>89</v>
      </c>
      <c r="L26" s="192"/>
      <c r="M26" s="192"/>
      <c r="N26" s="192" t="s">
        <v>90</v>
      </c>
      <c r="O26" s="192"/>
      <c r="P26" s="192"/>
      <c r="Q26" s="192" t="s">
        <v>91</v>
      </c>
      <c r="R26" s="192"/>
      <c r="S26" s="192"/>
      <c r="T26" s="8"/>
      <c r="U26" s="200" t="s">
        <v>88</v>
      </c>
      <c r="V26" s="188"/>
      <c r="W26" s="189"/>
      <c r="X26" s="187" t="s">
        <v>87</v>
      </c>
      <c r="Y26" s="188"/>
      <c r="Z26" s="189"/>
      <c r="AA26" s="187" t="s">
        <v>89</v>
      </c>
      <c r="AB26" s="188"/>
      <c r="AC26" s="189"/>
      <c r="AD26" s="187" t="s">
        <v>90</v>
      </c>
      <c r="AE26" s="188"/>
      <c r="AF26" s="189"/>
      <c r="AG26" s="187" t="s">
        <v>91</v>
      </c>
      <c r="AH26" s="188"/>
      <c r="AI26" s="190"/>
    </row>
    <row r="27" spans="1:35" customFormat="1" ht="13.9">
      <c r="B27" s="138" t="s">
        <v>96</v>
      </c>
      <c r="C27" s="23" t="s">
        <v>80</v>
      </c>
      <c r="D27" s="9" t="s">
        <v>92</v>
      </c>
      <c r="E27" s="11" t="s">
        <v>86</v>
      </c>
      <c r="F27" s="3" t="s">
        <v>85</v>
      </c>
      <c r="G27" s="3" t="s">
        <v>84</v>
      </c>
      <c r="H27" s="3" t="s">
        <v>86</v>
      </c>
      <c r="I27" s="3" t="s">
        <v>85</v>
      </c>
      <c r="J27" s="3" t="s">
        <v>84</v>
      </c>
      <c r="K27" s="3" t="s">
        <v>86</v>
      </c>
      <c r="L27" s="3" t="s">
        <v>85</v>
      </c>
      <c r="M27" s="3" t="s">
        <v>84</v>
      </c>
      <c r="N27" s="3" t="s">
        <v>86</v>
      </c>
      <c r="O27" s="3" t="s">
        <v>85</v>
      </c>
      <c r="P27" s="3" t="s">
        <v>84</v>
      </c>
      <c r="Q27" s="3" t="s">
        <v>86</v>
      </c>
      <c r="R27" s="3" t="s">
        <v>85</v>
      </c>
      <c r="S27" s="3" t="s">
        <v>84</v>
      </c>
      <c r="T27" s="9" t="s">
        <v>92</v>
      </c>
      <c r="U27" s="81" t="s">
        <v>86</v>
      </c>
      <c r="V27" s="82" t="s">
        <v>85</v>
      </c>
      <c r="W27" s="82" t="s">
        <v>84</v>
      </c>
      <c r="X27" s="82" t="s">
        <v>86</v>
      </c>
      <c r="Y27" s="82" t="s">
        <v>85</v>
      </c>
      <c r="Z27" s="82" t="s">
        <v>84</v>
      </c>
      <c r="AA27" s="82" t="s">
        <v>86</v>
      </c>
      <c r="AB27" s="82" t="s">
        <v>85</v>
      </c>
      <c r="AC27" s="82" t="s">
        <v>84</v>
      </c>
      <c r="AD27" s="82" t="s">
        <v>86</v>
      </c>
      <c r="AE27" s="82" t="s">
        <v>85</v>
      </c>
      <c r="AF27" s="82" t="s">
        <v>84</v>
      </c>
      <c r="AG27" s="82" t="s">
        <v>86</v>
      </c>
      <c r="AH27" s="82" t="s">
        <v>85</v>
      </c>
      <c r="AI27" s="133" t="s">
        <v>84</v>
      </c>
    </row>
    <row r="28" spans="1:35" customFormat="1">
      <c r="B28" s="1" t="s">
        <v>0</v>
      </c>
      <c r="C28" s="10" t="s">
        <v>93</v>
      </c>
      <c r="D28" s="17">
        <v>1.1000000000000001</v>
      </c>
      <c r="E28" s="12">
        <f>$C$8*$D$28</f>
        <v>0.31730769230769229</v>
      </c>
      <c r="F28" s="6">
        <v>4</v>
      </c>
      <c r="G28" s="4">
        <f t="shared" ref="G28:G37" si="0">E28*F28</f>
        <v>1.2692307692307692</v>
      </c>
      <c r="H28" s="5">
        <f t="shared" ref="H28:H37" si="1">E28*$H$23</f>
        <v>0.34903846153846158</v>
      </c>
      <c r="I28" s="19">
        <f t="shared" ref="I28:I37" si="2">F28*$I$24</f>
        <v>6</v>
      </c>
      <c r="J28" s="5">
        <f t="shared" ref="J28:J37" si="3">H28*I28</f>
        <v>2.0942307692307693</v>
      </c>
      <c r="K28" s="5">
        <f t="shared" ref="K28:K37" si="4">E28*$K$23</f>
        <v>0.36490384615384608</v>
      </c>
      <c r="L28" s="19">
        <f t="shared" ref="L28" si="5">F28*$L$24</f>
        <v>7</v>
      </c>
      <c r="M28" s="5">
        <f t="shared" ref="M28:M37" si="6">K28*L28</f>
        <v>2.5543269230769226</v>
      </c>
      <c r="N28" s="5">
        <f t="shared" ref="N28:N37" si="7">E28*$N$23</f>
        <v>0.39663461538461536</v>
      </c>
      <c r="O28" s="19">
        <f t="shared" ref="O28" si="8">F28*$O$24</f>
        <v>8</v>
      </c>
      <c r="P28" s="5">
        <f t="shared" ref="P28:P37" si="9">N28*O28</f>
        <v>3.1730769230769229</v>
      </c>
      <c r="Q28" s="5">
        <f t="shared" ref="Q28:Q37" si="10">E28*$Q$23</f>
        <v>0.44423076923076915</v>
      </c>
      <c r="R28" s="19">
        <f t="shared" ref="R28" si="11">F28*$R$24</f>
        <v>10</v>
      </c>
      <c r="S28" s="5">
        <f t="shared" ref="S28:S37" si="12">Q28*R28</f>
        <v>4.4423076923076916</v>
      </c>
      <c r="T28" s="17">
        <f t="shared" ref="T28:T37" si="13">D28*1.2</f>
        <v>1.32</v>
      </c>
      <c r="U28" s="83">
        <f t="shared" ref="U28:U37" si="14">$C$8*T28</f>
        <v>0.38076923076923075</v>
      </c>
      <c r="V28" s="84">
        <f t="shared" ref="V28:V37" si="15">F28*$I$24</f>
        <v>6</v>
      </c>
      <c r="W28" s="85">
        <f t="shared" ref="W28:W37" si="16">U28*V28</f>
        <v>2.2846153846153845</v>
      </c>
      <c r="X28" s="86">
        <f t="shared" ref="X28:X37" si="17">U28*$X$23</f>
        <v>0.41884615384615387</v>
      </c>
      <c r="Y28" s="87">
        <f t="shared" ref="Y28:Y37" si="18">V28*$Y$24</f>
        <v>6.8999999999999995</v>
      </c>
      <c r="Z28" s="86">
        <f t="shared" ref="Z28:Z37" si="19">X28*Y28</f>
        <v>2.8900384615384613</v>
      </c>
      <c r="AA28" s="86">
        <f t="shared" ref="AA28:AA37" si="20">U28*$AA$23</f>
        <v>0.43788461538461532</v>
      </c>
      <c r="AB28" s="87">
        <f t="shared" ref="AB28:AB37" si="21">V28*$AB$24</f>
        <v>9</v>
      </c>
      <c r="AC28" s="86">
        <f t="shared" ref="AC28:AC37" si="22">AA28*AB28</f>
        <v>3.9409615384615377</v>
      </c>
      <c r="AD28" s="86">
        <f t="shared" ref="AD28:AD37" si="23">U28*$AD$23</f>
        <v>0.47596153846153844</v>
      </c>
      <c r="AE28" s="87">
        <f t="shared" ref="AE28:AE37" si="24">V28*$AE$24</f>
        <v>10.5</v>
      </c>
      <c r="AF28" s="86">
        <f t="shared" ref="AF28:AF37" si="25">AD28*AE28</f>
        <v>4.9975961538461533</v>
      </c>
      <c r="AG28" s="86">
        <f t="shared" ref="AG28:AG37" si="26">U28*$AG$23</f>
        <v>0.533076923076923</v>
      </c>
      <c r="AH28" s="87">
        <f t="shared" ref="AH28:AH37" si="27">V28*$AH$24</f>
        <v>12</v>
      </c>
      <c r="AI28" s="134">
        <f t="shared" ref="AI28:AI37" si="28">AG28*AH28</f>
        <v>6.396923076923076</v>
      </c>
    </row>
    <row r="29" spans="1:35" customFormat="1">
      <c r="B29" s="1" t="s">
        <v>95</v>
      </c>
      <c r="C29" s="10" t="s">
        <v>1</v>
      </c>
      <c r="D29" s="17">
        <v>1.08</v>
      </c>
      <c r="E29" s="12">
        <f t="shared" ref="E29:E37" si="29">$C$8*D29</f>
        <v>0.31153846153846154</v>
      </c>
      <c r="F29" s="6">
        <v>3</v>
      </c>
      <c r="G29" s="4">
        <f t="shared" si="0"/>
        <v>0.93461538461538463</v>
      </c>
      <c r="H29" s="5">
        <f t="shared" si="1"/>
        <v>0.34269230769230774</v>
      </c>
      <c r="I29" s="19">
        <f t="shared" si="2"/>
        <v>4.5</v>
      </c>
      <c r="J29" s="5">
        <f t="shared" si="3"/>
        <v>1.5421153846153848</v>
      </c>
      <c r="K29" s="5">
        <f t="shared" si="4"/>
        <v>0.35826923076923073</v>
      </c>
      <c r="L29" s="19">
        <f>L28*(D29/D28)</f>
        <v>6.872727272727273</v>
      </c>
      <c r="M29" s="5">
        <f t="shared" si="6"/>
        <v>2.462286713286713</v>
      </c>
      <c r="N29" s="5">
        <f t="shared" si="7"/>
        <v>0.38942307692307693</v>
      </c>
      <c r="O29" s="19">
        <f>O28*(D29/D28)</f>
        <v>7.8545454545454545</v>
      </c>
      <c r="P29" s="5">
        <f t="shared" si="9"/>
        <v>3.0587412587412586</v>
      </c>
      <c r="Q29" s="5">
        <f t="shared" si="10"/>
        <v>0.43615384615384611</v>
      </c>
      <c r="R29" s="19">
        <f>R28*(D29/D28)</f>
        <v>9.8181818181818183</v>
      </c>
      <c r="S29" s="5">
        <f t="shared" si="12"/>
        <v>4.2822377622377621</v>
      </c>
      <c r="T29" s="17">
        <f t="shared" si="13"/>
        <v>1.296</v>
      </c>
      <c r="U29" s="83">
        <f t="shared" si="14"/>
        <v>0.37384615384615383</v>
      </c>
      <c r="V29" s="84">
        <f t="shared" si="15"/>
        <v>4.5</v>
      </c>
      <c r="W29" s="85">
        <f t="shared" si="16"/>
        <v>1.6823076923076923</v>
      </c>
      <c r="X29" s="86">
        <f t="shared" si="17"/>
        <v>0.41123076923076923</v>
      </c>
      <c r="Y29" s="87">
        <f t="shared" si="18"/>
        <v>5.1749999999999998</v>
      </c>
      <c r="Z29" s="86">
        <f t="shared" si="19"/>
        <v>2.1281192307692307</v>
      </c>
      <c r="AA29" s="86">
        <f t="shared" si="20"/>
        <v>0.42992307692307685</v>
      </c>
      <c r="AB29" s="87">
        <f t="shared" si="21"/>
        <v>6.75</v>
      </c>
      <c r="AC29" s="86">
        <f t="shared" si="22"/>
        <v>2.9019807692307689</v>
      </c>
      <c r="AD29" s="86">
        <f t="shared" si="23"/>
        <v>0.46730769230769231</v>
      </c>
      <c r="AE29" s="87">
        <f t="shared" si="24"/>
        <v>7.875</v>
      </c>
      <c r="AF29" s="86">
        <f t="shared" si="25"/>
        <v>3.680048076923077</v>
      </c>
      <c r="AG29" s="86">
        <f t="shared" si="26"/>
        <v>0.52338461538461534</v>
      </c>
      <c r="AH29" s="87">
        <f t="shared" si="27"/>
        <v>9</v>
      </c>
      <c r="AI29" s="134">
        <f t="shared" si="28"/>
        <v>4.710461538461538</v>
      </c>
    </row>
    <row r="30" spans="1:35" customFormat="1">
      <c r="B30" s="1" t="s">
        <v>2</v>
      </c>
      <c r="C30" s="10" t="s">
        <v>3</v>
      </c>
      <c r="D30" s="17">
        <v>1</v>
      </c>
      <c r="E30" s="12">
        <f t="shared" si="29"/>
        <v>0.28846153846153844</v>
      </c>
      <c r="F30" s="6">
        <v>1.5</v>
      </c>
      <c r="G30" s="4">
        <f t="shared" si="0"/>
        <v>0.43269230769230765</v>
      </c>
      <c r="H30" s="5">
        <f t="shared" si="1"/>
        <v>0.31730769230769229</v>
      </c>
      <c r="I30" s="19">
        <f t="shared" si="2"/>
        <v>2.25</v>
      </c>
      <c r="J30" s="5">
        <f t="shared" si="3"/>
        <v>0.71394230769230771</v>
      </c>
      <c r="K30" s="5">
        <f t="shared" si="4"/>
        <v>0.33173076923076916</v>
      </c>
      <c r="L30" s="19">
        <f>L28*(D30/D28)</f>
        <v>6.3636363636363633</v>
      </c>
      <c r="M30" s="5">
        <f t="shared" si="6"/>
        <v>2.1110139860139854</v>
      </c>
      <c r="N30" s="5">
        <f t="shared" si="7"/>
        <v>0.36057692307692302</v>
      </c>
      <c r="O30" s="19">
        <f>O28*(D30/D28)</f>
        <v>7.2727272727272725</v>
      </c>
      <c r="P30" s="5">
        <f t="shared" si="9"/>
        <v>2.6223776223776221</v>
      </c>
      <c r="Q30" s="5">
        <f t="shared" si="10"/>
        <v>0.4038461538461538</v>
      </c>
      <c r="R30" s="19">
        <f>R28*(D30/D28)</f>
        <v>9.0909090909090899</v>
      </c>
      <c r="S30" s="5">
        <f t="shared" si="12"/>
        <v>3.6713286713286704</v>
      </c>
      <c r="T30" s="17">
        <f t="shared" si="13"/>
        <v>1.2</v>
      </c>
      <c r="U30" s="83">
        <f t="shared" si="14"/>
        <v>0.34615384615384609</v>
      </c>
      <c r="V30" s="84">
        <f t="shared" si="15"/>
        <v>2.25</v>
      </c>
      <c r="W30" s="85">
        <f t="shared" si="16"/>
        <v>0.77884615384615374</v>
      </c>
      <c r="X30" s="86">
        <f t="shared" si="17"/>
        <v>0.38076923076923075</v>
      </c>
      <c r="Y30" s="87">
        <f t="shared" si="18"/>
        <v>2.5874999999999999</v>
      </c>
      <c r="Z30" s="86">
        <f t="shared" si="19"/>
        <v>0.98524038461538455</v>
      </c>
      <c r="AA30" s="86">
        <f t="shared" si="20"/>
        <v>0.39807692307692299</v>
      </c>
      <c r="AB30" s="87">
        <f t="shared" si="21"/>
        <v>3.375</v>
      </c>
      <c r="AC30" s="86">
        <f t="shared" si="22"/>
        <v>1.3435096153846151</v>
      </c>
      <c r="AD30" s="86">
        <f t="shared" si="23"/>
        <v>0.4326923076923076</v>
      </c>
      <c r="AE30" s="87">
        <f t="shared" si="24"/>
        <v>3.9375</v>
      </c>
      <c r="AF30" s="86">
        <f t="shared" si="25"/>
        <v>1.7037259615384612</v>
      </c>
      <c r="AG30" s="86">
        <f t="shared" si="26"/>
        <v>0.4846153846153845</v>
      </c>
      <c r="AH30" s="87">
        <f t="shared" si="27"/>
        <v>4.5</v>
      </c>
      <c r="AI30" s="134">
        <f t="shared" si="28"/>
        <v>2.1807692307692301</v>
      </c>
    </row>
    <row r="31" spans="1:35" customFormat="1">
      <c r="B31" s="1" t="s">
        <v>4</v>
      </c>
      <c r="C31" s="10" t="s">
        <v>5</v>
      </c>
      <c r="D31" s="17">
        <v>1.02</v>
      </c>
      <c r="E31" s="12">
        <f t="shared" si="29"/>
        <v>0.29423076923076918</v>
      </c>
      <c r="F31" s="6">
        <v>0.8</v>
      </c>
      <c r="G31" s="4">
        <f t="shared" si="0"/>
        <v>0.23538461538461536</v>
      </c>
      <c r="H31" s="5">
        <f t="shared" si="1"/>
        <v>0.32365384615384613</v>
      </c>
      <c r="I31" s="19">
        <f t="shared" si="2"/>
        <v>1.2000000000000002</v>
      </c>
      <c r="J31" s="5">
        <f t="shared" si="3"/>
        <v>0.38838461538461538</v>
      </c>
      <c r="K31" s="5">
        <f t="shared" si="4"/>
        <v>0.33836538461538451</v>
      </c>
      <c r="L31" s="19">
        <f>L28*(D31/D28)</f>
        <v>6.4909090909090903</v>
      </c>
      <c r="M31" s="5">
        <f t="shared" si="6"/>
        <v>2.1962989510489503</v>
      </c>
      <c r="N31" s="5">
        <f t="shared" si="7"/>
        <v>0.36778846153846145</v>
      </c>
      <c r="O31" s="19">
        <f>O28*(D31/D28)</f>
        <v>7.418181818181818</v>
      </c>
      <c r="P31" s="5">
        <f t="shared" si="9"/>
        <v>2.7283216783216777</v>
      </c>
      <c r="Q31" s="5">
        <f t="shared" si="10"/>
        <v>0.41192307692307684</v>
      </c>
      <c r="R31" s="19">
        <f>R28*(D31/D28)</f>
        <v>9.2727272727272734</v>
      </c>
      <c r="S31" s="5">
        <f t="shared" si="12"/>
        <v>3.8196503496503493</v>
      </c>
      <c r="T31" s="17">
        <f t="shared" si="13"/>
        <v>1.224</v>
      </c>
      <c r="U31" s="83">
        <f t="shared" si="14"/>
        <v>0.35307692307692307</v>
      </c>
      <c r="V31" s="84">
        <f t="shared" si="15"/>
        <v>1.2000000000000002</v>
      </c>
      <c r="W31" s="85">
        <f t="shared" si="16"/>
        <v>0.42369230769230776</v>
      </c>
      <c r="X31" s="86">
        <f t="shared" si="17"/>
        <v>0.38838461538461538</v>
      </c>
      <c r="Y31" s="87">
        <f t="shared" si="18"/>
        <v>1.3800000000000001</v>
      </c>
      <c r="Z31" s="86">
        <f t="shared" si="19"/>
        <v>0.53597076923076925</v>
      </c>
      <c r="AA31" s="86">
        <f t="shared" si="20"/>
        <v>0.40603846153846151</v>
      </c>
      <c r="AB31" s="87">
        <f t="shared" si="21"/>
        <v>1.8000000000000003</v>
      </c>
      <c r="AC31" s="86">
        <f t="shared" si="22"/>
        <v>0.73086923076923083</v>
      </c>
      <c r="AD31" s="86">
        <f t="shared" si="23"/>
        <v>0.44134615384615383</v>
      </c>
      <c r="AE31" s="87">
        <f t="shared" si="24"/>
        <v>2.1000000000000005</v>
      </c>
      <c r="AF31" s="86">
        <f t="shared" si="25"/>
        <v>0.92682692307692327</v>
      </c>
      <c r="AG31" s="86">
        <f t="shared" si="26"/>
        <v>0.49430769230769228</v>
      </c>
      <c r="AH31" s="87">
        <f t="shared" si="27"/>
        <v>2.4000000000000004</v>
      </c>
      <c r="AI31" s="134">
        <f t="shared" si="28"/>
        <v>1.1863384615384616</v>
      </c>
    </row>
    <row r="32" spans="1:35" customFormat="1">
      <c r="B32" s="1" t="s">
        <v>6</v>
      </c>
      <c r="C32" s="10" t="s">
        <v>7</v>
      </c>
      <c r="D32" s="17">
        <v>1.03</v>
      </c>
      <c r="E32" s="12">
        <f t="shared" si="29"/>
        <v>0.29711538461538461</v>
      </c>
      <c r="F32" s="6">
        <v>0.6</v>
      </c>
      <c r="G32" s="4">
        <f t="shared" si="0"/>
        <v>0.17826923076923076</v>
      </c>
      <c r="H32" s="5">
        <f t="shared" si="1"/>
        <v>0.32682692307692313</v>
      </c>
      <c r="I32" s="19">
        <f t="shared" si="2"/>
        <v>0.89999999999999991</v>
      </c>
      <c r="J32" s="5">
        <f t="shared" si="3"/>
        <v>0.2941442307692308</v>
      </c>
      <c r="K32" s="5">
        <f t="shared" si="4"/>
        <v>0.34168269230769227</v>
      </c>
      <c r="L32" s="19">
        <f>L28*(D32/D28)</f>
        <v>6.5545454545454538</v>
      </c>
      <c r="M32" s="5">
        <f t="shared" si="6"/>
        <v>2.2395747377622373</v>
      </c>
      <c r="N32" s="5">
        <f t="shared" si="7"/>
        <v>0.37139423076923078</v>
      </c>
      <c r="O32" s="19">
        <f>O28*(D32/D28)</f>
        <v>7.4909090909090903</v>
      </c>
      <c r="P32" s="5">
        <f t="shared" si="9"/>
        <v>2.7820804195804194</v>
      </c>
      <c r="Q32" s="5">
        <f t="shared" si="10"/>
        <v>0.41596153846153844</v>
      </c>
      <c r="R32" s="19">
        <f>R28*(D32/D28)</f>
        <v>9.3636363636363633</v>
      </c>
      <c r="S32" s="5">
        <f t="shared" si="12"/>
        <v>3.8949125874125872</v>
      </c>
      <c r="T32" s="17">
        <f t="shared" si="13"/>
        <v>1.236</v>
      </c>
      <c r="U32" s="83">
        <f t="shared" si="14"/>
        <v>0.35653846153846153</v>
      </c>
      <c r="V32" s="84">
        <f t="shared" si="15"/>
        <v>0.89999999999999991</v>
      </c>
      <c r="W32" s="85">
        <f t="shared" si="16"/>
        <v>0.32088461538461532</v>
      </c>
      <c r="X32" s="86">
        <f t="shared" si="17"/>
        <v>0.39219230769230773</v>
      </c>
      <c r="Y32" s="87">
        <f t="shared" si="18"/>
        <v>1.0349999999999999</v>
      </c>
      <c r="Z32" s="86">
        <f t="shared" si="19"/>
        <v>0.40591903846153848</v>
      </c>
      <c r="AA32" s="86">
        <f t="shared" si="20"/>
        <v>0.41001923076923075</v>
      </c>
      <c r="AB32" s="87">
        <f t="shared" si="21"/>
        <v>1.3499999999999999</v>
      </c>
      <c r="AC32" s="86">
        <f t="shared" si="22"/>
        <v>0.55352596153846145</v>
      </c>
      <c r="AD32" s="86">
        <f t="shared" si="23"/>
        <v>0.44567307692307689</v>
      </c>
      <c r="AE32" s="87">
        <f t="shared" si="24"/>
        <v>1.5749999999999997</v>
      </c>
      <c r="AF32" s="86">
        <f t="shared" si="25"/>
        <v>0.70193509615384597</v>
      </c>
      <c r="AG32" s="86">
        <f t="shared" si="26"/>
        <v>0.49915384615384611</v>
      </c>
      <c r="AH32" s="87">
        <f t="shared" si="27"/>
        <v>1.7999999999999998</v>
      </c>
      <c r="AI32" s="134">
        <f t="shared" si="28"/>
        <v>0.89847692307692295</v>
      </c>
    </row>
    <row r="33" spans="2:35" customFormat="1">
      <c r="B33" s="1" t="s">
        <v>8</v>
      </c>
      <c r="C33" s="10" t="s">
        <v>9</v>
      </c>
      <c r="D33" s="17">
        <v>1.01</v>
      </c>
      <c r="E33" s="12">
        <f t="shared" si="29"/>
        <v>0.29134615384615381</v>
      </c>
      <c r="F33" s="6">
        <v>0.5</v>
      </c>
      <c r="G33" s="4">
        <f t="shared" si="0"/>
        <v>0.14567307692307691</v>
      </c>
      <c r="H33" s="5">
        <f t="shared" si="1"/>
        <v>0.32048076923076924</v>
      </c>
      <c r="I33" s="19">
        <f t="shared" si="2"/>
        <v>0.75</v>
      </c>
      <c r="J33" s="5">
        <f t="shared" si="3"/>
        <v>0.24036057692307694</v>
      </c>
      <c r="K33" s="5">
        <f t="shared" si="4"/>
        <v>0.33504807692307687</v>
      </c>
      <c r="L33" s="19">
        <f>L28*(D33/D28)</f>
        <v>6.4272727272727268</v>
      </c>
      <c r="M33" s="5">
        <f t="shared" si="6"/>
        <v>2.1534453671328664</v>
      </c>
      <c r="N33" s="5">
        <f t="shared" si="7"/>
        <v>0.36418269230769229</v>
      </c>
      <c r="O33" s="19">
        <f>O28*(D33/D28)</f>
        <v>7.3454545454545448</v>
      </c>
      <c r="P33" s="5">
        <f t="shared" si="9"/>
        <v>2.6750874125874122</v>
      </c>
      <c r="Q33" s="5">
        <f t="shared" si="10"/>
        <v>0.40788461538461529</v>
      </c>
      <c r="R33" s="19">
        <f>R28*(D33/D28)</f>
        <v>9.1818181818181817</v>
      </c>
      <c r="S33" s="5">
        <f t="shared" si="12"/>
        <v>3.7451223776223768</v>
      </c>
      <c r="T33" s="17">
        <f t="shared" si="13"/>
        <v>1.212</v>
      </c>
      <c r="U33" s="83">
        <f t="shared" si="14"/>
        <v>0.34961538461538455</v>
      </c>
      <c r="V33" s="84">
        <f t="shared" si="15"/>
        <v>0.75</v>
      </c>
      <c r="W33" s="85">
        <f t="shared" si="16"/>
        <v>0.26221153846153844</v>
      </c>
      <c r="X33" s="86">
        <f t="shared" si="17"/>
        <v>0.38457692307692304</v>
      </c>
      <c r="Y33" s="87">
        <f t="shared" si="18"/>
        <v>0.86249999999999993</v>
      </c>
      <c r="Z33" s="86">
        <f t="shared" si="19"/>
        <v>0.33169759615384609</v>
      </c>
      <c r="AA33" s="86">
        <f t="shared" si="20"/>
        <v>0.40205769230769223</v>
      </c>
      <c r="AB33" s="87">
        <f t="shared" si="21"/>
        <v>1.125</v>
      </c>
      <c r="AC33" s="86">
        <f t="shared" si="22"/>
        <v>0.45231490384615375</v>
      </c>
      <c r="AD33" s="86">
        <f t="shared" si="23"/>
        <v>0.43701923076923066</v>
      </c>
      <c r="AE33" s="87">
        <f t="shared" si="24"/>
        <v>1.3125</v>
      </c>
      <c r="AF33" s="86">
        <f t="shared" si="25"/>
        <v>0.57358774038461524</v>
      </c>
      <c r="AG33" s="86">
        <f t="shared" si="26"/>
        <v>0.48946153846153834</v>
      </c>
      <c r="AH33" s="87">
        <f t="shared" si="27"/>
        <v>1.5</v>
      </c>
      <c r="AI33" s="134">
        <f t="shared" si="28"/>
        <v>0.73419230769230748</v>
      </c>
    </row>
    <row r="34" spans="2:35" customFormat="1">
      <c r="B34" s="1" t="s">
        <v>10</v>
      </c>
      <c r="C34" s="10" t="s">
        <v>11</v>
      </c>
      <c r="D34" s="17">
        <v>1</v>
      </c>
      <c r="E34" s="12">
        <f t="shared" si="29"/>
        <v>0.28846153846153844</v>
      </c>
      <c r="F34" s="6">
        <v>0.05</v>
      </c>
      <c r="G34" s="4">
        <f t="shared" si="0"/>
        <v>1.4423076923076922E-2</v>
      </c>
      <c r="H34" s="5">
        <f t="shared" si="1"/>
        <v>0.31730769230769229</v>
      </c>
      <c r="I34" s="19">
        <f t="shared" si="2"/>
        <v>7.5000000000000011E-2</v>
      </c>
      <c r="J34" s="5">
        <f t="shared" si="3"/>
        <v>2.3798076923076925E-2</v>
      </c>
      <c r="K34" s="5">
        <f t="shared" si="4"/>
        <v>0.33173076923076916</v>
      </c>
      <c r="L34" s="19">
        <f>L28*(D34/D28)</f>
        <v>6.3636363636363633</v>
      </c>
      <c r="M34" s="5">
        <f t="shared" si="6"/>
        <v>2.1110139860139854</v>
      </c>
      <c r="N34" s="5">
        <f t="shared" si="7"/>
        <v>0.36057692307692302</v>
      </c>
      <c r="O34" s="19">
        <f>O28*(D34/D28)</f>
        <v>7.2727272727272725</v>
      </c>
      <c r="P34" s="5">
        <f t="shared" si="9"/>
        <v>2.6223776223776221</v>
      </c>
      <c r="Q34" s="5">
        <f t="shared" si="10"/>
        <v>0.4038461538461538</v>
      </c>
      <c r="R34" s="19">
        <f>R28*(D34/D28)</f>
        <v>9.0909090909090899</v>
      </c>
      <c r="S34" s="5">
        <f t="shared" si="12"/>
        <v>3.6713286713286704</v>
      </c>
      <c r="T34" s="17">
        <f t="shared" si="13"/>
        <v>1.2</v>
      </c>
      <c r="U34" s="83">
        <f t="shared" si="14"/>
        <v>0.34615384615384609</v>
      </c>
      <c r="V34" s="84">
        <f t="shared" si="15"/>
        <v>7.5000000000000011E-2</v>
      </c>
      <c r="W34" s="85">
        <f t="shared" si="16"/>
        <v>2.596153846153846E-2</v>
      </c>
      <c r="X34" s="86">
        <f t="shared" si="17"/>
        <v>0.38076923076923075</v>
      </c>
      <c r="Y34" s="87">
        <f t="shared" si="18"/>
        <v>8.6250000000000007E-2</v>
      </c>
      <c r="Z34" s="86">
        <f t="shared" si="19"/>
        <v>3.2841346153846152E-2</v>
      </c>
      <c r="AA34" s="86">
        <f t="shared" si="20"/>
        <v>0.39807692307692299</v>
      </c>
      <c r="AB34" s="87">
        <f t="shared" si="21"/>
        <v>0.11250000000000002</v>
      </c>
      <c r="AC34" s="86">
        <f t="shared" si="22"/>
        <v>4.4783653846153841E-2</v>
      </c>
      <c r="AD34" s="86">
        <f t="shared" si="23"/>
        <v>0.4326923076923076</v>
      </c>
      <c r="AE34" s="87">
        <f t="shared" si="24"/>
        <v>0.13125000000000003</v>
      </c>
      <c r="AF34" s="86">
        <f t="shared" si="25"/>
        <v>5.6790865384615384E-2</v>
      </c>
      <c r="AG34" s="86">
        <f t="shared" si="26"/>
        <v>0.4846153846153845</v>
      </c>
      <c r="AH34" s="87">
        <f t="shared" si="27"/>
        <v>0.15000000000000002</v>
      </c>
      <c r="AI34" s="134">
        <f t="shared" si="28"/>
        <v>7.2692307692307681E-2</v>
      </c>
    </row>
    <row r="35" spans="2:35" customFormat="1">
      <c r="B35" s="1" t="s">
        <v>12</v>
      </c>
      <c r="C35" s="10" t="s">
        <v>13</v>
      </c>
      <c r="D35" s="17">
        <v>1</v>
      </c>
      <c r="E35" s="12">
        <f t="shared" si="29"/>
        <v>0.28846153846153844</v>
      </c>
      <c r="F35" s="6">
        <v>0.05</v>
      </c>
      <c r="G35" s="4">
        <f t="shared" si="0"/>
        <v>1.4423076923076922E-2</v>
      </c>
      <c r="H35" s="5">
        <f t="shared" si="1"/>
        <v>0.31730769230769229</v>
      </c>
      <c r="I35" s="19">
        <f t="shared" si="2"/>
        <v>7.5000000000000011E-2</v>
      </c>
      <c r="J35" s="5">
        <f t="shared" si="3"/>
        <v>2.3798076923076925E-2</v>
      </c>
      <c r="K35" s="5">
        <f t="shared" si="4"/>
        <v>0.33173076923076916</v>
      </c>
      <c r="L35" s="19">
        <f>L28*(D35/D28)</f>
        <v>6.3636363636363633</v>
      </c>
      <c r="M35" s="5">
        <f t="shared" si="6"/>
        <v>2.1110139860139854</v>
      </c>
      <c r="N35" s="5">
        <f t="shared" si="7"/>
        <v>0.36057692307692302</v>
      </c>
      <c r="O35" s="19">
        <f>O28*(D35/D28)</f>
        <v>7.2727272727272725</v>
      </c>
      <c r="P35" s="5">
        <f t="shared" si="9"/>
        <v>2.6223776223776221</v>
      </c>
      <c r="Q35" s="5">
        <f t="shared" si="10"/>
        <v>0.4038461538461538</v>
      </c>
      <c r="R35" s="19">
        <f>R28*(D35/D28)</f>
        <v>9.0909090909090899</v>
      </c>
      <c r="S35" s="5">
        <f t="shared" si="12"/>
        <v>3.6713286713286704</v>
      </c>
      <c r="T35" s="17">
        <f t="shared" si="13"/>
        <v>1.2</v>
      </c>
      <c r="U35" s="83">
        <f t="shared" si="14"/>
        <v>0.34615384615384609</v>
      </c>
      <c r="V35" s="84">
        <f t="shared" si="15"/>
        <v>7.5000000000000011E-2</v>
      </c>
      <c r="W35" s="85">
        <f t="shared" si="16"/>
        <v>2.596153846153846E-2</v>
      </c>
      <c r="X35" s="86">
        <f t="shared" si="17"/>
        <v>0.38076923076923075</v>
      </c>
      <c r="Y35" s="87">
        <f t="shared" si="18"/>
        <v>8.6250000000000007E-2</v>
      </c>
      <c r="Z35" s="86">
        <f t="shared" si="19"/>
        <v>3.2841346153846152E-2</v>
      </c>
      <c r="AA35" s="86">
        <f t="shared" si="20"/>
        <v>0.39807692307692299</v>
      </c>
      <c r="AB35" s="87">
        <f t="shared" si="21"/>
        <v>0.11250000000000002</v>
      </c>
      <c r="AC35" s="86">
        <f t="shared" si="22"/>
        <v>4.4783653846153841E-2</v>
      </c>
      <c r="AD35" s="86">
        <f t="shared" si="23"/>
        <v>0.4326923076923076</v>
      </c>
      <c r="AE35" s="87">
        <f t="shared" si="24"/>
        <v>0.13125000000000003</v>
      </c>
      <c r="AF35" s="86">
        <f t="shared" si="25"/>
        <v>5.6790865384615384E-2</v>
      </c>
      <c r="AG35" s="86">
        <f t="shared" si="26"/>
        <v>0.4846153846153845</v>
      </c>
      <c r="AH35" s="87">
        <f t="shared" si="27"/>
        <v>0.15000000000000002</v>
      </c>
      <c r="AI35" s="134">
        <f t="shared" si="28"/>
        <v>7.2692307692307681E-2</v>
      </c>
    </row>
    <row r="36" spans="2:35" customFormat="1">
      <c r="B36" s="1" t="s">
        <v>14</v>
      </c>
      <c r="C36" s="10" t="s">
        <v>15</v>
      </c>
      <c r="D36" s="17">
        <v>1.02</v>
      </c>
      <c r="E36" s="12">
        <f t="shared" si="29"/>
        <v>0.29423076923076918</v>
      </c>
      <c r="F36" s="6">
        <v>1.5</v>
      </c>
      <c r="G36" s="4">
        <f t="shared" si="0"/>
        <v>0.44134615384615378</v>
      </c>
      <c r="H36" s="5">
        <f t="shared" si="1"/>
        <v>0.32365384615384613</v>
      </c>
      <c r="I36" s="19">
        <f t="shared" si="2"/>
        <v>2.25</v>
      </c>
      <c r="J36" s="5">
        <f t="shared" si="3"/>
        <v>0.72822115384615382</v>
      </c>
      <c r="K36" s="5">
        <f t="shared" si="4"/>
        <v>0.33836538461538451</v>
      </c>
      <c r="L36" s="19">
        <f>L28*(D36/D28)</f>
        <v>6.4909090909090903</v>
      </c>
      <c r="M36" s="5">
        <f t="shared" si="6"/>
        <v>2.1962989510489503</v>
      </c>
      <c r="N36" s="5">
        <f t="shared" si="7"/>
        <v>0.36778846153846145</v>
      </c>
      <c r="O36" s="19">
        <f>O28*(D36/D28)</f>
        <v>7.418181818181818</v>
      </c>
      <c r="P36" s="5">
        <f t="shared" si="9"/>
        <v>2.7283216783216777</v>
      </c>
      <c r="Q36" s="5">
        <f t="shared" si="10"/>
        <v>0.41192307692307684</v>
      </c>
      <c r="R36" s="19">
        <f>R28*(D36/D28)</f>
        <v>9.2727272727272734</v>
      </c>
      <c r="S36" s="5">
        <f t="shared" si="12"/>
        <v>3.8196503496503493</v>
      </c>
      <c r="T36" s="17">
        <f t="shared" si="13"/>
        <v>1.224</v>
      </c>
      <c r="U36" s="83">
        <f t="shared" si="14"/>
        <v>0.35307692307692307</v>
      </c>
      <c r="V36" s="84">
        <f t="shared" si="15"/>
        <v>2.25</v>
      </c>
      <c r="W36" s="85">
        <f t="shared" si="16"/>
        <v>0.7944230769230769</v>
      </c>
      <c r="X36" s="86">
        <f t="shared" si="17"/>
        <v>0.38838461538461538</v>
      </c>
      <c r="Y36" s="87">
        <f t="shared" si="18"/>
        <v>2.5874999999999999</v>
      </c>
      <c r="Z36" s="86">
        <f t="shared" si="19"/>
        <v>1.0049451923076922</v>
      </c>
      <c r="AA36" s="86">
        <f t="shared" si="20"/>
        <v>0.40603846153846151</v>
      </c>
      <c r="AB36" s="87">
        <f t="shared" si="21"/>
        <v>3.375</v>
      </c>
      <c r="AC36" s="86">
        <f t="shared" si="22"/>
        <v>1.3703798076923077</v>
      </c>
      <c r="AD36" s="86">
        <f t="shared" si="23"/>
        <v>0.44134615384615383</v>
      </c>
      <c r="AE36" s="87">
        <f t="shared" si="24"/>
        <v>3.9375</v>
      </c>
      <c r="AF36" s="86">
        <f t="shared" si="25"/>
        <v>1.7378004807692307</v>
      </c>
      <c r="AG36" s="86">
        <f t="shared" si="26"/>
        <v>0.49430769230769228</v>
      </c>
      <c r="AH36" s="87">
        <f t="shared" si="27"/>
        <v>4.5</v>
      </c>
      <c r="AI36" s="134">
        <f t="shared" si="28"/>
        <v>2.2243846153846154</v>
      </c>
    </row>
    <row r="37" spans="2:35" customFormat="1" ht="13.9" thickBot="1">
      <c r="B37" s="2" t="s">
        <v>16</v>
      </c>
      <c r="C37" s="135" t="s">
        <v>94</v>
      </c>
      <c r="D37" s="18">
        <v>1.1000000000000001</v>
      </c>
      <c r="E37" s="13">
        <f t="shared" si="29"/>
        <v>0.31730769230769229</v>
      </c>
      <c r="F37" s="14">
        <v>3</v>
      </c>
      <c r="G37" s="15">
        <f t="shared" si="0"/>
        <v>0.95192307692307687</v>
      </c>
      <c r="H37" s="16">
        <f t="shared" si="1"/>
        <v>0.34903846153846158</v>
      </c>
      <c r="I37" s="20">
        <f t="shared" si="2"/>
        <v>4.5</v>
      </c>
      <c r="J37" s="16">
        <f t="shared" si="3"/>
        <v>1.570673076923077</v>
      </c>
      <c r="K37" s="16">
        <f t="shared" si="4"/>
        <v>0.36490384615384608</v>
      </c>
      <c r="L37" s="20">
        <f>L28*(D37/D28)</f>
        <v>7</v>
      </c>
      <c r="M37" s="16">
        <f t="shared" si="6"/>
        <v>2.5543269230769226</v>
      </c>
      <c r="N37" s="16">
        <f t="shared" si="7"/>
        <v>0.39663461538461536</v>
      </c>
      <c r="O37" s="20">
        <f>O28*(D37/D28)</f>
        <v>8</v>
      </c>
      <c r="P37" s="16">
        <f t="shared" si="9"/>
        <v>3.1730769230769229</v>
      </c>
      <c r="Q37" s="16">
        <f t="shared" si="10"/>
        <v>0.44423076923076915</v>
      </c>
      <c r="R37" s="20">
        <f>R28*(D37/D28)</f>
        <v>10</v>
      </c>
      <c r="S37" s="16">
        <f t="shared" si="12"/>
        <v>4.4423076923076916</v>
      </c>
      <c r="T37" s="18">
        <f t="shared" si="13"/>
        <v>1.32</v>
      </c>
      <c r="U37" s="88">
        <f t="shared" si="14"/>
        <v>0.38076923076923075</v>
      </c>
      <c r="V37" s="89">
        <f t="shared" si="15"/>
        <v>4.5</v>
      </c>
      <c r="W37" s="90">
        <f t="shared" si="16"/>
        <v>1.7134615384615384</v>
      </c>
      <c r="X37" s="91">
        <f t="shared" si="17"/>
        <v>0.41884615384615387</v>
      </c>
      <c r="Y37" s="92">
        <f t="shared" si="18"/>
        <v>5.1749999999999998</v>
      </c>
      <c r="Z37" s="91">
        <f t="shared" si="19"/>
        <v>2.167528846153846</v>
      </c>
      <c r="AA37" s="91">
        <f t="shared" si="20"/>
        <v>0.43788461538461532</v>
      </c>
      <c r="AB37" s="92">
        <f t="shared" si="21"/>
        <v>6.75</v>
      </c>
      <c r="AC37" s="91">
        <f t="shared" si="22"/>
        <v>2.9557211538461532</v>
      </c>
      <c r="AD37" s="91">
        <f t="shared" si="23"/>
        <v>0.47596153846153844</v>
      </c>
      <c r="AE37" s="92">
        <f t="shared" si="24"/>
        <v>7.875</v>
      </c>
      <c r="AF37" s="91">
        <f t="shared" si="25"/>
        <v>3.748197115384615</v>
      </c>
      <c r="AG37" s="91">
        <f t="shared" si="26"/>
        <v>0.533076923076923</v>
      </c>
      <c r="AH37" s="92">
        <f t="shared" si="27"/>
        <v>9</v>
      </c>
      <c r="AI37" s="136">
        <f t="shared" si="28"/>
        <v>4.7976923076923068</v>
      </c>
    </row>
    <row r="38" spans="2:35" customFormat="1"/>
    <row r="39" spans="2:35" customFormat="1"/>
    <row r="40" spans="2:35" customFormat="1"/>
    <row r="41" spans="2:35" ht="13.9" thickBot="1"/>
    <row r="42" spans="2:35" ht="20.65">
      <c r="B42" s="140" t="s">
        <v>114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2"/>
    </row>
    <row r="43" spans="2:35" s="51" customFormat="1">
      <c r="B43" s="50"/>
      <c r="D43" s="61"/>
      <c r="R43" s="63"/>
    </row>
    <row r="44" spans="2:35" ht="15">
      <c r="B44" s="179" t="s">
        <v>153</v>
      </c>
      <c r="C44" s="178"/>
      <c r="D44" s="139"/>
      <c r="E44" s="178" t="s">
        <v>151</v>
      </c>
      <c r="F44" s="178"/>
      <c r="G44" s="178"/>
      <c r="H44" s="139"/>
      <c r="I44" s="178" t="s">
        <v>152</v>
      </c>
      <c r="J44" s="178"/>
      <c r="K44" s="51"/>
      <c r="L44" s="51"/>
      <c r="M44" s="51"/>
      <c r="N44" s="51"/>
      <c r="O44" s="51"/>
      <c r="P44" s="51"/>
      <c r="Q44" s="51"/>
      <c r="R44" s="63"/>
    </row>
    <row r="45" spans="2:35" ht="13.9">
      <c r="B45" s="185" t="s">
        <v>146</v>
      </c>
      <c r="C45" s="186"/>
      <c r="D45" s="51"/>
      <c r="E45" s="173" t="s">
        <v>104</v>
      </c>
      <c r="F45" s="174"/>
      <c r="G45" s="106" t="s">
        <v>86</v>
      </c>
      <c r="H45" s="51"/>
      <c r="I45" s="107" t="s">
        <v>104</v>
      </c>
      <c r="J45" s="106" t="s">
        <v>86</v>
      </c>
      <c r="K45" s="51"/>
      <c r="L45" s="51"/>
      <c r="M45" s="51"/>
      <c r="N45" s="51"/>
      <c r="O45" s="51"/>
      <c r="P45" s="51"/>
      <c r="Q45" s="51"/>
      <c r="R45" s="63"/>
    </row>
    <row r="46" spans="2:35" ht="13.9">
      <c r="B46" s="108" t="s">
        <v>128</v>
      </c>
      <c r="C46" s="109">
        <f>$C$6*5</f>
        <v>130</v>
      </c>
      <c r="D46" s="51"/>
      <c r="E46" s="98" t="s">
        <v>147</v>
      </c>
      <c r="F46" s="111" t="s">
        <v>148</v>
      </c>
      <c r="G46" s="112">
        <v>1</v>
      </c>
      <c r="H46" s="51"/>
      <c r="I46" s="113" t="s">
        <v>60</v>
      </c>
      <c r="J46" s="112">
        <v>1.02</v>
      </c>
      <c r="K46" s="51"/>
      <c r="L46" s="51"/>
      <c r="M46" s="51"/>
      <c r="N46" s="51"/>
      <c r="O46" s="51"/>
      <c r="P46" s="51"/>
      <c r="Q46" s="51"/>
      <c r="R46" s="63"/>
    </row>
    <row r="47" spans="2:35" ht="13.9">
      <c r="B47" s="110" t="s">
        <v>129</v>
      </c>
      <c r="C47" s="109">
        <f>$C$6*4</f>
        <v>104</v>
      </c>
      <c r="D47" s="51"/>
      <c r="E47" s="98" t="s">
        <v>144</v>
      </c>
      <c r="F47" s="111" t="s">
        <v>61</v>
      </c>
      <c r="G47" s="98">
        <v>1.05</v>
      </c>
      <c r="H47" s="51"/>
      <c r="I47" s="113" t="s">
        <v>62</v>
      </c>
      <c r="J47" s="112">
        <v>1.05</v>
      </c>
      <c r="K47" s="51"/>
      <c r="L47" s="51"/>
      <c r="M47" s="51"/>
      <c r="N47" s="51"/>
      <c r="O47" s="51"/>
      <c r="P47" s="51"/>
      <c r="Q47" s="51"/>
      <c r="R47" s="63"/>
    </row>
    <row r="48" spans="2:35" ht="13.9">
      <c r="B48" s="108" t="s">
        <v>130</v>
      </c>
      <c r="C48" s="109">
        <f>$C$6*3</f>
        <v>78</v>
      </c>
      <c r="D48" s="51"/>
      <c r="E48" s="98" t="s">
        <v>63</v>
      </c>
      <c r="F48" s="111" t="s">
        <v>64</v>
      </c>
      <c r="G48" s="112">
        <v>1.1000000000000001</v>
      </c>
      <c r="H48" s="51"/>
      <c r="I48" s="113" t="s">
        <v>65</v>
      </c>
      <c r="J48" s="112">
        <v>1.1000000000000001</v>
      </c>
      <c r="K48" s="51"/>
      <c r="L48" s="51"/>
      <c r="M48" s="51"/>
      <c r="N48" s="51"/>
      <c r="O48" s="51"/>
      <c r="P48" s="51"/>
      <c r="Q48" s="51"/>
      <c r="R48" s="63"/>
    </row>
    <row r="49" spans="2:27" ht="13.9">
      <c r="B49" s="108" t="s">
        <v>131</v>
      </c>
      <c r="C49" s="109">
        <f>$C$6*2</f>
        <v>52</v>
      </c>
      <c r="D49" s="51"/>
      <c r="E49" s="98" t="s">
        <v>145</v>
      </c>
      <c r="F49" s="111" t="s">
        <v>67</v>
      </c>
      <c r="G49" s="98">
        <v>1.1499999999999999</v>
      </c>
      <c r="H49" s="51"/>
      <c r="I49" s="113" t="s">
        <v>68</v>
      </c>
      <c r="J49" s="112">
        <v>1.5</v>
      </c>
      <c r="K49" s="51"/>
      <c r="L49" s="51"/>
      <c r="M49" s="51"/>
      <c r="N49" s="51"/>
      <c r="O49" s="51"/>
      <c r="P49" s="51"/>
      <c r="Q49" s="51"/>
      <c r="R49" s="63"/>
    </row>
    <row r="50" spans="2:27" ht="13.9">
      <c r="B50" s="108" t="s">
        <v>132</v>
      </c>
      <c r="C50" s="109">
        <f>$C$6*1</f>
        <v>26</v>
      </c>
      <c r="D50" s="51"/>
      <c r="E50" s="112" t="s">
        <v>66</v>
      </c>
      <c r="F50" s="111" t="s">
        <v>69</v>
      </c>
      <c r="G50" s="112">
        <v>1.2</v>
      </c>
      <c r="H50" s="51"/>
      <c r="I50" s="113" t="s">
        <v>70</v>
      </c>
      <c r="J50" s="112">
        <v>1.2</v>
      </c>
      <c r="K50" s="51"/>
      <c r="L50" s="51"/>
      <c r="M50" s="51"/>
      <c r="N50" s="51"/>
      <c r="O50" s="51"/>
      <c r="P50" s="51"/>
      <c r="Q50" s="51"/>
      <c r="R50" s="63"/>
    </row>
    <row r="51" spans="2:27">
      <c r="B51" s="108" t="s">
        <v>133</v>
      </c>
      <c r="C51" s="109">
        <f>$C$6*1/2</f>
        <v>13</v>
      </c>
      <c r="D51" s="51"/>
      <c r="E51" s="51"/>
      <c r="F51" s="51"/>
      <c r="G51" s="51"/>
      <c r="H51" s="51"/>
      <c r="I51" s="113" t="s">
        <v>71</v>
      </c>
      <c r="J51" s="112">
        <v>1.1000000000000001</v>
      </c>
      <c r="K51" s="51"/>
      <c r="L51" s="51"/>
      <c r="M51" s="51"/>
      <c r="N51" s="51"/>
      <c r="O51" s="51"/>
      <c r="P51" s="51"/>
      <c r="Q51" s="51"/>
      <c r="R51" s="63"/>
    </row>
    <row r="52" spans="2:27">
      <c r="B52" s="108" t="s">
        <v>134</v>
      </c>
      <c r="C52" s="109">
        <f>$C$6*1/3</f>
        <v>8.6666666666666661</v>
      </c>
      <c r="D52" s="51"/>
      <c r="E52" s="51"/>
      <c r="F52" s="51"/>
      <c r="G52" s="64"/>
      <c r="H52" s="64"/>
      <c r="I52" s="113" t="s">
        <v>72</v>
      </c>
      <c r="J52" s="112">
        <v>1.05</v>
      </c>
      <c r="K52" s="51"/>
      <c r="L52" s="51"/>
      <c r="M52" s="51"/>
      <c r="N52" s="51"/>
      <c r="O52" s="51"/>
      <c r="P52" s="51"/>
      <c r="Q52" s="51"/>
      <c r="R52" s="63"/>
    </row>
    <row r="53" spans="2:27">
      <c r="B53" s="108" t="s">
        <v>135</v>
      </c>
      <c r="C53" s="109">
        <f>$C$6*1/6</f>
        <v>4.333333333333333</v>
      </c>
      <c r="D53" s="51"/>
      <c r="E53" s="51"/>
      <c r="F53" s="51"/>
      <c r="G53" s="51"/>
      <c r="H53" s="51"/>
      <c r="I53" s="113" t="s">
        <v>73</v>
      </c>
      <c r="J53" s="112">
        <v>1.2</v>
      </c>
      <c r="K53" s="51"/>
      <c r="L53" s="51"/>
      <c r="M53" s="51"/>
      <c r="N53" s="51"/>
      <c r="O53" s="51"/>
      <c r="P53" s="51"/>
      <c r="Q53" s="51"/>
      <c r="R53" s="63"/>
    </row>
    <row r="54" spans="2:27">
      <c r="B54" s="108" t="s">
        <v>136</v>
      </c>
      <c r="C54" s="109">
        <f>$C$6*1/14</f>
        <v>1.8571428571428572</v>
      </c>
      <c r="D54" s="51"/>
      <c r="E54" s="51"/>
      <c r="F54" s="51"/>
      <c r="G54" s="64"/>
      <c r="H54" s="64"/>
      <c r="I54" s="51"/>
      <c r="J54" s="51"/>
      <c r="K54" s="51"/>
      <c r="L54" s="51"/>
      <c r="M54" s="51"/>
      <c r="N54" s="51"/>
      <c r="O54" s="51"/>
      <c r="P54" s="51"/>
      <c r="Q54" s="51"/>
      <c r="R54" s="63"/>
    </row>
    <row r="55" spans="2:27">
      <c r="B55" s="108" t="s">
        <v>137</v>
      </c>
      <c r="C55" s="109">
        <f>$C$6*1/21</f>
        <v>1.2380952380952381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63"/>
    </row>
    <row r="56" spans="2:27">
      <c r="B56" s="108" t="s">
        <v>138</v>
      </c>
      <c r="C56" s="109">
        <f>$C$6*1/26</f>
        <v>1</v>
      </c>
      <c r="D56" s="51"/>
      <c r="E56" s="51"/>
      <c r="F56" s="51"/>
      <c r="G56" s="64"/>
      <c r="H56" s="64"/>
      <c r="I56" s="51"/>
      <c r="J56" s="51"/>
      <c r="K56" s="51"/>
      <c r="L56" s="51"/>
      <c r="M56" s="51"/>
      <c r="N56" s="51"/>
      <c r="O56" s="51"/>
      <c r="P56" s="51"/>
      <c r="Q56" s="51"/>
      <c r="R56" s="63"/>
    </row>
    <row r="57" spans="2:27">
      <c r="B57" s="108" t="s">
        <v>139</v>
      </c>
      <c r="C57" s="109">
        <f>$C$6*1/52</f>
        <v>0.5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63"/>
    </row>
    <row r="58" spans="2:27">
      <c r="B58" s="65"/>
      <c r="C58" s="62"/>
      <c r="D58" s="61"/>
      <c r="E58" s="6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63"/>
    </row>
    <row r="59" spans="2:27" ht="22.9" thickBot="1">
      <c r="B59" s="66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8"/>
      <c r="Z59" s="42"/>
      <c r="AA59" s="42"/>
    </row>
    <row r="60" spans="2:27">
      <c r="B60" s="45"/>
      <c r="C60" s="46"/>
      <c r="D60" s="46"/>
      <c r="E60" s="46"/>
      <c r="F60" s="46"/>
      <c r="G60" s="46"/>
      <c r="H60" s="46"/>
      <c r="I60" s="47" t="s">
        <v>104</v>
      </c>
      <c r="J60" s="47"/>
      <c r="K60" s="48">
        <v>1</v>
      </c>
      <c r="L60" s="48">
        <v>1.05</v>
      </c>
      <c r="M60" s="48">
        <v>1.1000000000000001</v>
      </c>
      <c r="N60" s="48">
        <v>1.1499999999999999</v>
      </c>
      <c r="O60" s="48">
        <v>1</v>
      </c>
      <c r="P60" s="48">
        <v>1.05</v>
      </c>
      <c r="Q60" s="48">
        <v>1.1000000000000001</v>
      </c>
      <c r="R60" s="49">
        <v>1.1499999999999999</v>
      </c>
    </row>
    <row r="61" spans="2:27" ht="13.9">
      <c r="B61" s="50"/>
      <c r="C61" s="51"/>
      <c r="D61" s="51"/>
      <c r="E61" s="51"/>
      <c r="F61" s="51"/>
      <c r="G61" s="51"/>
      <c r="H61" s="51"/>
      <c r="I61" s="51"/>
      <c r="J61" s="51"/>
      <c r="K61" s="180" t="s">
        <v>121</v>
      </c>
      <c r="L61" s="180"/>
      <c r="M61" s="180"/>
      <c r="N61" s="180"/>
      <c r="O61" s="176" t="s">
        <v>120</v>
      </c>
      <c r="P61" s="176"/>
      <c r="Q61" s="176"/>
      <c r="R61" s="177"/>
      <c r="Z61" s="42"/>
      <c r="AA61" s="42"/>
    </row>
    <row r="62" spans="2:27" ht="17.649999999999999">
      <c r="B62" s="99" t="s">
        <v>122</v>
      </c>
      <c r="C62" s="41" t="s">
        <v>108</v>
      </c>
      <c r="D62" s="41" t="s">
        <v>119</v>
      </c>
      <c r="E62" s="41" t="s">
        <v>143</v>
      </c>
      <c r="F62" s="41" t="s">
        <v>142</v>
      </c>
      <c r="G62" s="100" t="s">
        <v>112</v>
      </c>
      <c r="H62" s="100" t="s">
        <v>105</v>
      </c>
      <c r="I62" s="100" t="s">
        <v>141</v>
      </c>
      <c r="J62" s="100" t="s">
        <v>140</v>
      </c>
      <c r="K62" s="41" t="s">
        <v>127</v>
      </c>
      <c r="L62" s="41" t="s">
        <v>144</v>
      </c>
      <c r="M62" s="41" t="s">
        <v>63</v>
      </c>
      <c r="N62" s="41" t="s">
        <v>66</v>
      </c>
      <c r="O62" s="95" t="s">
        <v>127</v>
      </c>
      <c r="P62" s="95" t="s">
        <v>115</v>
      </c>
      <c r="Q62" s="95" t="s">
        <v>63</v>
      </c>
      <c r="R62" s="96" t="s">
        <v>66</v>
      </c>
    </row>
    <row r="63" spans="2:27">
      <c r="B63" s="52" t="s">
        <v>116</v>
      </c>
      <c r="C63" s="31">
        <v>30</v>
      </c>
      <c r="D63" s="39">
        <f>C63/60</f>
        <v>0.5</v>
      </c>
      <c r="E63" s="39">
        <f t="shared" ref="E63:E68" si="30">D63*$C$46/26</f>
        <v>2.5</v>
      </c>
      <c r="F63" s="32">
        <f t="shared" ref="F63:F68" si="31">D63*$C$46</f>
        <v>65</v>
      </c>
      <c r="G63" s="33">
        <f t="shared" ref="G63:G69" si="32">$C$8*D63</f>
        <v>0.14423076923076922</v>
      </c>
      <c r="H63" s="31">
        <v>130</v>
      </c>
      <c r="I63" s="34">
        <f t="shared" ref="I63:I68" si="33">G63*H63/$C$6</f>
        <v>0.72115384615384615</v>
      </c>
      <c r="J63" s="35">
        <f>G63*H63</f>
        <v>18.75</v>
      </c>
      <c r="K63" s="40">
        <f t="shared" ref="K63:K68" si="34">G63*$K$60</f>
        <v>0.14423076923076922</v>
      </c>
      <c r="L63" s="40">
        <f t="shared" ref="L63:L68" si="35">G63*$L$60</f>
        <v>0.15144230769230768</v>
      </c>
      <c r="M63" s="40">
        <f t="shared" ref="M63:M68" si="36">G63*$M$60</f>
        <v>0.15865384615384615</v>
      </c>
      <c r="N63" s="40">
        <f t="shared" ref="N63:N68" si="37">G63*$N$60</f>
        <v>0.16586538461538458</v>
      </c>
      <c r="O63" s="93">
        <f t="shared" ref="O63:O68" si="38">D63*$O$60</f>
        <v>0.5</v>
      </c>
      <c r="P63" s="93">
        <f t="shared" ref="P63:P68" si="39">D63*$P$60</f>
        <v>0.52500000000000002</v>
      </c>
      <c r="Q63" s="93">
        <f t="shared" ref="Q63:Q68" si="40">D63*$Q$60</f>
        <v>0.55000000000000004</v>
      </c>
      <c r="R63" s="94">
        <f t="shared" ref="R63:R68" si="41">D63*$R$60</f>
        <v>0.57499999999999996</v>
      </c>
      <c r="Z63" s="42"/>
      <c r="AA63" s="42"/>
    </row>
    <row r="64" spans="2:27">
      <c r="B64" s="52" t="s">
        <v>124</v>
      </c>
      <c r="C64" s="31">
        <v>30</v>
      </c>
      <c r="D64" s="39">
        <f t="shared" ref="D64:D68" si="42">C64/60</f>
        <v>0.5</v>
      </c>
      <c r="E64" s="39">
        <f t="shared" si="30"/>
        <v>2.5</v>
      </c>
      <c r="F64" s="32">
        <f t="shared" si="31"/>
        <v>65</v>
      </c>
      <c r="G64" s="33">
        <f t="shared" si="32"/>
        <v>0.14423076923076922</v>
      </c>
      <c r="H64" s="31">
        <v>130</v>
      </c>
      <c r="I64" s="34">
        <f t="shared" si="33"/>
        <v>0.72115384615384615</v>
      </c>
      <c r="J64" s="35">
        <f t="shared" ref="J64:J68" si="43">G64*H64</f>
        <v>18.75</v>
      </c>
      <c r="K64" s="40">
        <f t="shared" si="34"/>
        <v>0.14423076923076922</v>
      </c>
      <c r="L64" s="40">
        <f t="shared" si="35"/>
        <v>0.15144230769230768</v>
      </c>
      <c r="M64" s="40">
        <f t="shared" si="36"/>
        <v>0.15865384615384615</v>
      </c>
      <c r="N64" s="40">
        <f t="shared" si="37"/>
        <v>0.16586538461538458</v>
      </c>
      <c r="O64" s="93">
        <f t="shared" si="38"/>
        <v>0.5</v>
      </c>
      <c r="P64" s="93">
        <f t="shared" si="39"/>
        <v>0.52500000000000002</v>
      </c>
      <c r="Q64" s="93">
        <f t="shared" si="40"/>
        <v>0.55000000000000004</v>
      </c>
      <c r="R64" s="94">
        <f t="shared" si="41"/>
        <v>0.57499999999999996</v>
      </c>
    </row>
    <row r="65" spans="2:27">
      <c r="B65" s="52" t="s">
        <v>125</v>
      </c>
      <c r="C65" s="31">
        <v>25</v>
      </c>
      <c r="D65" s="39">
        <f t="shared" si="42"/>
        <v>0.41666666666666669</v>
      </c>
      <c r="E65" s="39">
        <f t="shared" si="30"/>
        <v>2.0833333333333335</v>
      </c>
      <c r="F65" s="32">
        <f t="shared" si="31"/>
        <v>54.166666666666671</v>
      </c>
      <c r="G65" s="33">
        <f t="shared" si="32"/>
        <v>0.12019230769230768</v>
      </c>
      <c r="H65" s="31">
        <v>130</v>
      </c>
      <c r="I65" s="34">
        <f t="shared" si="33"/>
        <v>0.60096153846153844</v>
      </c>
      <c r="J65" s="35">
        <f t="shared" si="43"/>
        <v>15.624999999999998</v>
      </c>
      <c r="K65" s="40">
        <f t="shared" si="34"/>
        <v>0.12019230769230768</v>
      </c>
      <c r="L65" s="40">
        <f t="shared" si="35"/>
        <v>0.12620192307692307</v>
      </c>
      <c r="M65" s="40">
        <f t="shared" si="36"/>
        <v>0.13221153846153846</v>
      </c>
      <c r="N65" s="40">
        <f t="shared" si="37"/>
        <v>0.13822115384615383</v>
      </c>
      <c r="O65" s="93">
        <f t="shared" si="38"/>
        <v>0.41666666666666669</v>
      </c>
      <c r="P65" s="93">
        <f t="shared" si="39"/>
        <v>0.43750000000000006</v>
      </c>
      <c r="Q65" s="93">
        <f t="shared" si="40"/>
        <v>0.45833333333333337</v>
      </c>
      <c r="R65" s="94">
        <f t="shared" si="41"/>
        <v>0.47916666666666663</v>
      </c>
      <c r="Z65" s="42"/>
      <c r="AA65" s="42"/>
    </row>
    <row r="66" spans="2:27">
      <c r="B66" s="52" t="s">
        <v>126</v>
      </c>
      <c r="C66" s="31">
        <v>25</v>
      </c>
      <c r="D66" s="39">
        <f t="shared" si="42"/>
        <v>0.41666666666666669</v>
      </c>
      <c r="E66" s="39">
        <f t="shared" si="30"/>
        <v>2.0833333333333335</v>
      </c>
      <c r="F66" s="32">
        <f t="shared" si="31"/>
        <v>54.166666666666671</v>
      </c>
      <c r="G66" s="33">
        <f t="shared" si="32"/>
        <v>0.12019230769230768</v>
      </c>
      <c r="H66" s="31">
        <v>130</v>
      </c>
      <c r="I66" s="34">
        <f t="shared" si="33"/>
        <v>0.60096153846153844</v>
      </c>
      <c r="J66" s="35">
        <f t="shared" si="43"/>
        <v>15.624999999999998</v>
      </c>
      <c r="K66" s="40">
        <f t="shared" si="34"/>
        <v>0.12019230769230768</v>
      </c>
      <c r="L66" s="40">
        <f t="shared" si="35"/>
        <v>0.12620192307692307</v>
      </c>
      <c r="M66" s="40">
        <f t="shared" si="36"/>
        <v>0.13221153846153846</v>
      </c>
      <c r="N66" s="40">
        <f t="shared" si="37"/>
        <v>0.13822115384615383</v>
      </c>
      <c r="O66" s="93">
        <f t="shared" si="38"/>
        <v>0.41666666666666669</v>
      </c>
      <c r="P66" s="93">
        <f t="shared" si="39"/>
        <v>0.43750000000000006</v>
      </c>
      <c r="Q66" s="93">
        <f t="shared" si="40"/>
        <v>0.45833333333333337</v>
      </c>
      <c r="R66" s="94">
        <f t="shared" si="41"/>
        <v>0.47916666666666663</v>
      </c>
    </row>
    <row r="67" spans="2:27">
      <c r="B67" s="53" t="s">
        <v>118</v>
      </c>
      <c r="C67" s="31">
        <v>20</v>
      </c>
      <c r="D67" s="39">
        <f t="shared" si="42"/>
        <v>0.33333333333333331</v>
      </c>
      <c r="E67" s="39">
        <f t="shared" si="30"/>
        <v>1.6666666666666665</v>
      </c>
      <c r="F67" s="32">
        <f t="shared" si="31"/>
        <v>43.333333333333329</v>
      </c>
      <c r="G67" s="33">
        <f t="shared" si="32"/>
        <v>9.6153846153846145E-2</v>
      </c>
      <c r="H67" s="31">
        <v>130</v>
      </c>
      <c r="I67" s="34">
        <f t="shared" si="33"/>
        <v>0.48076923076923073</v>
      </c>
      <c r="J67" s="35">
        <f t="shared" si="43"/>
        <v>12.499999999999998</v>
      </c>
      <c r="K67" s="40">
        <f t="shared" si="34"/>
        <v>9.6153846153846145E-2</v>
      </c>
      <c r="L67" s="40">
        <f t="shared" si="35"/>
        <v>0.10096153846153846</v>
      </c>
      <c r="M67" s="40">
        <f t="shared" si="36"/>
        <v>0.10576923076923077</v>
      </c>
      <c r="N67" s="40">
        <f t="shared" si="37"/>
        <v>0.11057692307692306</v>
      </c>
      <c r="O67" s="93">
        <f t="shared" si="38"/>
        <v>0.33333333333333331</v>
      </c>
      <c r="P67" s="93">
        <f t="shared" si="39"/>
        <v>0.35</v>
      </c>
      <c r="Q67" s="93">
        <f t="shared" si="40"/>
        <v>0.3666666666666667</v>
      </c>
      <c r="R67" s="94">
        <f t="shared" si="41"/>
        <v>0.3833333333333333</v>
      </c>
      <c r="Z67" s="42"/>
      <c r="AA67" s="42"/>
    </row>
    <row r="68" spans="2:27">
      <c r="B68" s="53" t="s">
        <v>117</v>
      </c>
      <c r="C68" s="31">
        <v>15</v>
      </c>
      <c r="D68" s="39">
        <f t="shared" si="42"/>
        <v>0.25</v>
      </c>
      <c r="E68" s="39">
        <f t="shared" si="30"/>
        <v>1.25</v>
      </c>
      <c r="F68" s="32">
        <f t="shared" si="31"/>
        <v>32.5</v>
      </c>
      <c r="G68" s="33">
        <f t="shared" si="32"/>
        <v>7.2115384615384609E-2</v>
      </c>
      <c r="H68" s="31">
        <v>130</v>
      </c>
      <c r="I68" s="34">
        <f t="shared" si="33"/>
        <v>0.36057692307692307</v>
      </c>
      <c r="J68" s="35">
        <f t="shared" si="43"/>
        <v>9.375</v>
      </c>
      <c r="K68" s="40">
        <f t="shared" si="34"/>
        <v>7.2115384615384609E-2</v>
      </c>
      <c r="L68" s="40">
        <f t="shared" si="35"/>
        <v>7.5721153846153841E-2</v>
      </c>
      <c r="M68" s="40">
        <f t="shared" si="36"/>
        <v>7.9326923076923073E-2</v>
      </c>
      <c r="N68" s="40">
        <f t="shared" si="37"/>
        <v>8.2932692307692291E-2</v>
      </c>
      <c r="O68" s="93">
        <f t="shared" si="38"/>
        <v>0.25</v>
      </c>
      <c r="P68" s="93">
        <f t="shared" si="39"/>
        <v>0.26250000000000001</v>
      </c>
      <c r="Q68" s="93">
        <f t="shared" si="40"/>
        <v>0.27500000000000002</v>
      </c>
      <c r="R68" s="94">
        <f t="shared" si="41"/>
        <v>0.28749999999999998</v>
      </c>
    </row>
    <row r="69" spans="2:27" ht="14.25" thickBot="1">
      <c r="B69" s="54"/>
      <c r="C69" s="55"/>
      <c r="D69" s="101">
        <f>SUM(D63:D68)</f>
        <v>2.416666666666667</v>
      </c>
      <c r="E69" s="101">
        <f>SUM(E63:E68)</f>
        <v>12.083333333333334</v>
      </c>
      <c r="F69" s="101">
        <f>SUM(F63:F68)</f>
        <v>314.16666666666669</v>
      </c>
      <c r="G69" s="102">
        <f t="shared" si="32"/>
        <v>0.69711538461538469</v>
      </c>
      <c r="H69" s="103"/>
      <c r="I69" s="104">
        <f>SUM(I63:I68)</f>
        <v>3.4855769230769229</v>
      </c>
      <c r="J69" s="105">
        <f>SUM(J63:J68)</f>
        <v>90.625</v>
      </c>
      <c r="K69" s="55"/>
      <c r="L69" s="55"/>
      <c r="M69" s="55"/>
      <c r="N69" s="55"/>
      <c r="O69" s="55"/>
      <c r="P69" s="55"/>
      <c r="Q69" s="55"/>
      <c r="R69" s="56"/>
      <c r="Z69" s="42"/>
      <c r="AA69" s="42"/>
    </row>
    <row r="70" spans="2:27">
      <c r="B70" s="50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63"/>
    </row>
    <row r="71" spans="2:27" ht="13.9" thickBot="1">
      <c r="B71" s="50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63"/>
      <c r="Z71" s="42"/>
      <c r="AA71" s="42"/>
    </row>
    <row r="72" spans="2:27">
      <c r="B72" s="45"/>
      <c r="C72" s="46"/>
      <c r="D72" s="46"/>
      <c r="E72" s="46"/>
      <c r="F72" s="46"/>
      <c r="G72" s="46"/>
      <c r="H72" s="46"/>
      <c r="I72" s="47" t="s">
        <v>104</v>
      </c>
      <c r="J72" s="47"/>
      <c r="K72" s="48">
        <v>1</v>
      </c>
      <c r="L72" s="48">
        <v>1.05</v>
      </c>
      <c r="M72" s="48">
        <v>1.1000000000000001</v>
      </c>
      <c r="N72" s="48">
        <v>1.1499999999999999</v>
      </c>
      <c r="O72" s="48">
        <v>1</v>
      </c>
      <c r="P72" s="48">
        <v>1.05</v>
      </c>
      <c r="Q72" s="48">
        <v>1.1000000000000001</v>
      </c>
      <c r="R72" s="49">
        <v>1.1499999999999999</v>
      </c>
    </row>
    <row r="73" spans="2:27" ht="13.9">
      <c r="B73" s="50"/>
      <c r="C73" s="51"/>
      <c r="D73" s="51"/>
      <c r="E73" s="51"/>
      <c r="F73" s="51"/>
      <c r="G73" s="51"/>
      <c r="H73" s="51"/>
      <c r="I73" s="51"/>
      <c r="J73" s="51"/>
      <c r="K73" s="180" t="s">
        <v>121</v>
      </c>
      <c r="L73" s="180"/>
      <c r="M73" s="180"/>
      <c r="N73" s="180"/>
      <c r="O73" s="176" t="s">
        <v>120</v>
      </c>
      <c r="P73" s="176"/>
      <c r="Q73" s="176"/>
      <c r="R73" s="177"/>
      <c r="Z73" s="42"/>
      <c r="AA73" s="42"/>
    </row>
    <row r="74" spans="2:27" ht="17.649999999999999">
      <c r="B74" s="99" t="s">
        <v>149</v>
      </c>
      <c r="C74" s="41" t="s">
        <v>108</v>
      </c>
      <c r="D74" s="41" t="s">
        <v>119</v>
      </c>
      <c r="E74" s="41" t="s">
        <v>143</v>
      </c>
      <c r="F74" s="41" t="s">
        <v>142</v>
      </c>
      <c r="G74" s="100" t="s">
        <v>112</v>
      </c>
      <c r="H74" s="100" t="s">
        <v>105</v>
      </c>
      <c r="I74" s="100" t="s">
        <v>141</v>
      </c>
      <c r="J74" s="100" t="s">
        <v>140</v>
      </c>
      <c r="K74" s="41" t="s">
        <v>127</v>
      </c>
      <c r="L74" s="41" t="s">
        <v>144</v>
      </c>
      <c r="M74" s="41" t="s">
        <v>63</v>
      </c>
      <c r="N74" s="41" t="s">
        <v>66</v>
      </c>
      <c r="O74" s="95" t="s">
        <v>127</v>
      </c>
      <c r="P74" s="95" t="s">
        <v>115</v>
      </c>
      <c r="Q74" s="95" t="s">
        <v>63</v>
      </c>
      <c r="R74" s="96" t="s">
        <v>66</v>
      </c>
    </row>
    <row r="75" spans="2:27">
      <c r="B75" s="58" t="s">
        <v>60</v>
      </c>
      <c r="C75" s="31">
        <v>30</v>
      </c>
      <c r="D75" s="39">
        <f>C75/60</f>
        <v>0.5</v>
      </c>
      <c r="E75" s="39">
        <f t="shared" ref="E75:E83" si="44">D75*$C$46/26</f>
        <v>2.5</v>
      </c>
      <c r="F75" s="32">
        <f t="shared" ref="F75:F83" si="45">D75*$C$46</f>
        <v>65</v>
      </c>
      <c r="G75" s="33">
        <f t="shared" ref="G75:G84" si="46">$C$8*D75</f>
        <v>0.14423076923076922</v>
      </c>
      <c r="H75" s="31">
        <v>130</v>
      </c>
      <c r="I75" s="34">
        <f>G75*H75/$C$6</f>
        <v>0.72115384615384615</v>
      </c>
      <c r="J75" s="35">
        <f>G75*H75</f>
        <v>18.75</v>
      </c>
      <c r="K75" s="40">
        <f t="shared" ref="K75:K83" si="47">G75*$K$60</f>
        <v>0.14423076923076922</v>
      </c>
      <c r="L75" s="40">
        <f t="shared" ref="L75:L83" si="48">G75*$L$60</f>
        <v>0.15144230769230768</v>
      </c>
      <c r="M75" s="40">
        <f t="shared" ref="M75:M83" si="49">G75*$M$60</f>
        <v>0.15865384615384615</v>
      </c>
      <c r="N75" s="40">
        <f t="shared" ref="N75:N83" si="50">G75*$N$60</f>
        <v>0.16586538461538458</v>
      </c>
      <c r="O75" s="93">
        <f t="shared" ref="O75:O83" si="51">D75*$O$60</f>
        <v>0.5</v>
      </c>
      <c r="P75" s="93">
        <f t="shared" ref="P75:P83" si="52">D75*$P$60</f>
        <v>0.52500000000000002</v>
      </c>
      <c r="Q75" s="93">
        <f t="shared" ref="Q75:Q83" si="53">D75*$Q$60</f>
        <v>0.55000000000000004</v>
      </c>
      <c r="R75" s="94">
        <f t="shared" ref="R75:R83" si="54">D75*$R$60</f>
        <v>0.57499999999999996</v>
      </c>
      <c r="Z75" s="42"/>
      <c r="AA75" s="42"/>
    </row>
    <row r="76" spans="2:27">
      <c r="B76" s="58" t="s">
        <v>62</v>
      </c>
      <c r="C76" s="31">
        <v>45</v>
      </c>
      <c r="D76" s="39">
        <f t="shared" ref="D76:D83" si="55">C76/60</f>
        <v>0.75</v>
      </c>
      <c r="E76" s="39">
        <f t="shared" si="44"/>
        <v>3.75</v>
      </c>
      <c r="F76" s="32">
        <f t="shared" si="45"/>
        <v>97.5</v>
      </c>
      <c r="G76" s="33">
        <f t="shared" si="46"/>
        <v>0.21634615384615383</v>
      </c>
      <c r="H76" s="31">
        <v>130</v>
      </c>
      <c r="I76" s="34">
        <f>G76*H76/$C$6</f>
        <v>1.0817307692307692</v>
      </c>
      <c r="J76" s="35">
        <f t="shared" ref="J76:J83" si="56">G76*H76</f>
        <v>28.124999999999996</v>
      </c>
      <c r="K76" s="40">
        <f t="shared" si="47"/>
        <v>0.21634615384615383</v>
      </c>
      <c r="L76" s="40">
        <f t="shared" si="48"/>
        <v>0.22716346153846154</v>
      </c>
      <c r="M76" s="40">
        <f t="shared" si="49"/>
        <v>0.23798076923076922</v>
      </c>
      <c r="N76" s="40">
        <f t="shared" si="50"/>
        <v>0.24879807692307687</v>
      </c>
      <c r="O76" s="93">
        <f t="shared" si="51"/>
        <v>0.75</v>
      </c>
      <c r="P76" s="93">
        <f t="shared" si="52"/>
        <v>0.78750000000000009</v>
      </c>
      <c r="Q76" s="93">
        <f t="shared" si="53"/>
        <v>0.82500000000000007</v>
      </c>
      <c r="R76" s="94">
        <f t="shared" si="54"/>
        <v>0.86249999999999993</v>
      </c>
    </row>
    <row r="77" spans="2:27">
      <c r="B77" s="58" t="s">
        <v>65</v>
      </c>
      <c r="C77" s="31">
        <v>60</v>
      </c>
      <c r="D77" s="39">
        <f t="shared" si="55"/>
        <v>1</v>
      </c>
      <c r="E77" s="39">
        <f t="shared" si="44"/>
        <v>5</v>
      </c>
      <c r="F77" s="32">
        <f t="shared" si="45"/>
        <v>130</v>
      </c>
      <c r="G77" s="33">
        <f t="shared" si="46"/>
        <v>0.28846153846153844</v>
      </c>
      <c r="H77" s="31">
        <v>130</v>
      </c>
      <c r="I77" s="34">
        <f>G77*H77/$C$6</f>
        <v>1.4423076923076923</v>
      </c>
      <c r="J77" s="35">
        <f t="shared" si="56"/>
        <v>37.5</v>
      </c>
      <c r="K77" s="40">
        <f t="shared" si="47"/>
        <v>0.28846153846153844</v>
      </c>
      <c r="L77" s="40">
        <f t="shared" si="48"/>
        <v>0.30288461538461536</v>
      </c>
      <c r="M77" s="40">
        <f t="shared" si="49"/>
        <v>0.31730769230769229</v>
      </c>
      <c r="N77" s="40">
        <f t="shared" si="50"/>
        <v>0.33173076923076916</v>
      </c>
      <c r="O77" s="93">
        <f t="shared" si="51"/>
        <v>1</v>
      </c>
      <c r="P77" s="93">
        <f t="shared" si="52"/>
        <v>1.05</v>
      </c>
      <c r="Q77" s="93">
        <f t="shared" si="53"/>
        <v>1.1000000000000001</v>
      </c>
      <c r="R77" s="94">
        <f t="shared" si="54"/>
        <v>1.1499999999999999</v>
      </c>
      <c r="Z77" s="42"/>
      <c r="AA77" s="42"/>
    </row>
    <row r="78" spans="2:27">
      <c r="B78" s="58" t="s">
        <v>68</v>
      </c>
      <c r="C78" s="31">
        <v>90</v>
      </c>
      <c r="D78" s="39">
        <f t="shared" si="55"/>
        <v>1.5</v>
      </c>
      <c r="E78" s="39">
        <f t="shared" si="44"/>
        <v>7.5</v>
      </c>
      <c r="F78" s="32">
        <f t="shared" si="45"/>
        <v>195</v>
      </c>
      <c r="G78" s="33">
        <f t="shared" si="46"/>
        <v>0.43269230769230765</v>
      </c>
      <c r="H78" s="31">
        <v>130</v>
      </c>
      <c r="I78" s="34">
        <f>G78*H78/$C$6</f>
        <v>2.1634615384615383</v>
      </c>
      <c r="J78" s="35">
        <f t="shared" si="56"/>
        <v>56.249999999999993</v>
      </c>
      <c r="K78" s="40">
        <f t="shared" si="47"/>
        <v>0.43269230769230765</v>
      </c>
      <c r="L78" s="40">
        <f t="shared" si="48"/>
        <v>0.45432692307692307</v>
      </c>
      <c r="M78" s="40">
        <f t="shared" si="49"/>
        <v>0.47596153846153844</v>
      </c>
      <c r="N78" s="40">
        <f t="shared" si="50"/>
        <v>0.49759615384615374</v>
      </c>
      <c r="O78" s="93">
        <f t="shared" si="51"/>
        <v>1.5</v>
      </c>
      <c r="P78" s="93">
        <f t="shared" si="52"/>
        <v>1.5750000000000002</v>
      </c>
      <c r="Q78" s="93">
        <f t="shared" si="53"/>
        <v>1.6500000000000001</v>
      </c>
      <c r="R78" s="94">
        <f t="shared" si="54"/>
        <v>1.7249999999999999</v>
      </c>
    </row>
    <row r="79" spans="2:27">
      <c r="B79" s="58" t="s">
        <v>70</v>
      </c>
      <c r="C79" s="31">
        <v>45</v>
      </c>
      <c r="D79" s="39">
        <f t="shared" si="55"/>
        <v>0.75</v>
      </c>
      <c r="E79" s="39">
        <f t="shared" si="44"/>
        <v>3.75</v>
      </c>
      <c r="F79" s="32">
        <f t="shared" si="45"/>
        <v>97.5</v>
      </c>
      <c r="G79" s="33">
        <f t="shared" si="46"/>
        <v>0.21634615384615383</v>
      </c>
      <c r="H79" s="31">
        <v>130</v>
      </c>
      <c r="I79" s="34">
        <f>G79*H79/$C$6</f>
        <v>1.0817307692307692</v>
      </c>
      <c r="J79" s="35">
        <f t="shared" si="56"/>
        <v>28.124999999999996</v>
      </c>
      <c r="K79" s="40">
        <f t="shared" si="47"/>
        <v>0.21634615384615383</v>
      </c>
      <c r="L79" s="40">
        <f t="shared" si="48"/>
        <v>0.22716346153846154</v>
      </c>
      <c r="M79" s="40">
        <f t="shared" si="49"/>
        <v>0.23798076923076922</v>
      </c>
      <c r="N79" s="40">
        <f t="shared" si="50"/>
        <v>0.24879807692307687</v>
      </c>
      <c r="O79" s="93">
        <f t="shared" si="51"/>
        <v>0.75</v>
      </c>
      <c r="P79" s="93">
        <f t="shared" si="52"/>
        <v>0.78750000000000009</v>
      </c>
      <c r="Q79" s="93">
        <f t="shared" si="53"/>
        <v>0.82500000000000007</v>
      </c>
      <c r="R79" s="94">
        <f t="shared" si="54"/>
        <v>0.86249999999999993</v>
      </c>
      <c r="Z79" s="42"/>
      <c r="AA79" s="42"/>
    </row>
    <row r="80" spans="2:27">
      <c r="B80" s="58" t="s">
        <v>71</v>
      </c>
      <c r="C80" s="31">
        <v>30</v>
      </c>
      <c r="D80" s="39">
        <f t="shared" si="55"/>
        <v>0.5</v>
      </c>
      <c r="E80" s="39">
        <f t="shared" si="44"/>
        <v>2.5</v>
      </c>
      <c r="F80" s="32">
        <f t="shared" si="45"/>
        <v>65</v>
      </c>
      <c r="G80" s="33">
        <f t="shared" si="46"/>
        <v>0.14423076923076922</v>
      </c>
      <c r="H80" s="31">
        <v>130</v>
      </c>
      <c r="I80" s="34">
        <f t="shared" ref="I80:I83" si="57">G80*H80/$C$6</f>
        <v>0.72115384615384615</v>
      </c>
      <c r="J80" s="35">
        <f t="shared" si="56"/>
        <v>18.75</v>
      </c>
      <c r="K80" s="40">
        <f t="shared" si="47"/>
        <v>0.14423076923076922</v>
      </c>
      <c r="L80" s="40">
        <f t="shared" si="48"/>
        <v>0.15144230769230768</v>
      </c>
      <c r="M80" s="40">
        <f t="shared" si="49"/>
        <v>0.15865384615384615</v>
      </c>
      <c r="N80" s="40">
        <f t="shared" si="50"/>
        <v>0.16586538461538458</v>
      </c>
      <c r="O80" s="93">
        <f t="shared" si="51"/>
        <v>0.5</v>
      </c>
      <c r="P80" s="93">
        <f t="shared" si="52"/>
        <v>0.52500000000000002</v>
      </c>
      <c r="Q80" s="93">
        <f t="shared" si="53"/>
        <v>0.55000000000000004</v>
      </c>
      <c r="R80" s="94">
        <f t="shared" si="54"/>
        <v>0.57499999999999996</v>
      </c>
      <c r="Z80" s="42"/>
      <c r="AA80" s="42"/>
    </row>
    <row r="81" spans="2:27">
      <c r="B81" s="58" t="s">
        <v>72</v>
      </c>
      <c r="C81" s="31">
        <v>20</v>
      </c>
      <c r="D81" s="39">
        <f t="shared" si="55"/>
        <v>0.33333333333333331</v>
      </c>
      <c r="E81" s="39">
        <f t="shared" si="44"/>
        <v>1.6666666666666665</v>
      </c>
      <c r="F81" s="32">
        <f t="shared" si="45"/>
        <v>43.333333333333329</v>
      </c>
      <c r="G81" s="33">
        <f t="shared" si="46"/>
        <v>9.6153846153846145E-2</v>
      </c>
      <c r="H81" s="31">
        <v>130</v>
      </c>
      <c r="I81" s="34">
        <f t="shared" si="57"/>
        <v>0.48076923076923073</v>
      </c>
      <c r="J81" s="35">
        <f t="shared" si="56"/>
        <v>12.499999999999998</v>
      </c>
      <c r="K81" s="40">
        <f t="shared" si="47"/>
        <v>9.6153846153846145E-2</v>
      </c>
      <c r="L81" s="40">
        <f t="shared" si="48"/>
        <v>0.10096153846153846</v>
      </c>
      <c r="M81" s="40">
        <f t="shared" si="49"/>
        <v>0.10576923076923077</v>
      </c>
      <c r="N81" s="40">
        <f t="shared" si="50"/>
        <v>0.11057692307692306</v>
      </c>
      <c r="O81" s="93">
        <f t="shared" si="51"/>
        <v>0.33333333333333331</v>
      </c>
      <c r="P81" s="93">
        <f t="shared" si="52"/>
        <v>0.35</v>
      </c>
      <c r="Q81" s="93">
        <f t="shared" si="53"/>
        <v>0.3666666666666667</v>
      </c>
      <c r="R81" s="94">
        <f t="shared" si="54"/>
        <v>0.3833333333333333</v>
      </c>
      <c r="Z81" s="42"/>
      <c r="AA81" s="42"/>
    </row>
    <row r="82" spans="2:27">
      <c r="B82" s="58" t="s">
        <v>73</v>
      </c>
      <c r="C82" s="31">
        <v>45</v>
      </c>
      <c r="D82" s="39">
        <f t="shared" si="55"/>
        <v>0.75</v>
      </c>
      <c r="E82" s="39">
        <f t="shared" si="44"/>
        <v>3.75</v>
      </c>
      <c r="F82" s="32">
        <f t="shared" si="45"/>
        <v>97.5</v>
      </c>
      <c r="G82" s="33">
        <f t="shared" si="46"/>
        <v>0.21634615384615383</v>
      </c>
      <c r="H82" s="31">
        <v>130</v>
      </c>
      <c r="I82" s="34">
        <f t="shared" si="57"/>
        <v>1.0817307692307692</v>
      </c>
      <c r="J82" s="35">
        <f t="shared" si="56"/>
        <v>28.124999999999996</v>
      </c>
      <c r="K82" s="40">
        <f t="shared" si="47"/>
        <v>0.21634615384615383</v>
      </c>
      <c r="L82" s="40">
        <f t="shared" si="48"/>
        <v>0.22716346153846154</v>
      </c>
      <c r="M82" s="40">
        <f t="shared" si="49"/>
        <v>0.23798076923076922</v>
      </c>
      <c r="N82" s="40">
        <f t="shared" si="50"/>
        <v>0.24879807692307687</v>
      </c>
      <c r="O82" s="93">
        <f t="shared" si="51"/>
        <v>0.75</v>
      </c>
      <c r="P82" s="93">
        <f t="shared" si="52"/>
        <v>0.78750000000000009</v>
      </c>
      <c r="Q82" s="93">
        <f t="shared" si="53"/>
        <v>0.82500000000000007</v>
      </c>
      <c r="R82" s="94">
        <f t="shared" si="54"/>
        <v>0.86249999999999993</v>
      </c>
      <c r="Z82" s="42"/>
      <c r="AA82" s="42"/>
    </row>
    <row r="83" spans="2:27">
      <c r="B83" s="52" t="s">
        <v>150</v>
      </c>
      <c r="C83" s="57">
        <v>0</v>
      </c>
      <c r="D83" s="39">
        <f t="shared" si="55"/>
        <v>0</v>
      </c>
      <c r="E83" s="39">
        <f t="shared" si="44"/>
        <v>0</v>
      </c>
      <c r="F83" s="32">
        <f t="shared" si="45"/>
        <v>0</v>
      </c>
      <c r="G83" s="33">
        <f t="shared" si="46"/>
        <v>0</v>
      </c>
      <c r="H83" s="31">
        <v>130</v>
      </c>
      <c r="I83" s="34">
        <f t="shared" si="57"/>
        <v>0</v>
      </c>
      <c r="J83" s="35">
        <f t="shared" si="56"/>
        <v>0</v>
      </c>
      <c r="K83" s="40">
        <f t="shared" si="47"/>
        <v>0</v>
      </c>
      <c r="L83" s="40">
        <f t="shared" si="48"/>
        <v>0</v>
      </c>
      <c r="M83" s="40">
        <f t="shared" si="49"/>
        <v>0</v>
      </c>
      <c r="N83" s="40">
        <f t="shared" si="50"/>
        <v>0</v>
      </c>
      <c r="O83" s="93">
        <f t="shared" si="51"/>
        <v>0</v>
      </c>
      <c r="P83" s="93">
        <f t="shared" si="52"/>
        <v>0</v>
      </c>
      <c r="Q83" s="93">
        <f t="shared" si="53"/>
        <v>0</v>
      </c>
      <c r="R83" s="94">
        <f t="shared" si="54"/>
        <v>0</v>
      </c>
    </row>
    <row r="84" spans="2:27" ht="14.25" thickBot="1">
      <c r="B84" s="59"/>
      <c r="C84" s="55"/>
      <c r="D84" s="101">
        <f>SUM(D75:D83)</f>
        <v>6.083333333333333</v>
      </c>
      <c r="E84" s="101">
        <f>SUM(E75:E83)</f>
        <v>30.416666666666668</v>
      </c>
      <c r="F84" s="101">
        <f>SUM(F75:F83)</f>
        <v>790.83333333333337</v>
      </c>
      <c r="G84" s="102">
        <f t="shared" si="46"/>
        <v>1.7548076923076921</v>
      </c>
      <c r="H84" s="103"/>
      <c r="I84" s="104">
        <f>SUM(I75:I83)</f>
        <v>8.7740384615384599</v>
      </c>
      <c r="J84" s="105">
        <f>SUM(J75:J83)</f>
        <v>228.125</v>
      </c>
      <c r="K84" s="143"/>
      <c r="L84" s="143"/>
      <c r="M84" s="143"/>
      <c r="N84" s="143"/>
      <c r="O84" s="144"/>
      <c r="P84" s="144"/>
      <c r="Q84" s="144"/>
      <c r="R84" s="145"/>
      <c r="Z84" s="42"/>
      <c r="AA84" s="42"/>
    </row>
    <row r="86" spans="2:27">
      <c r="Z86" s="42"/>
      <c r="AA86" s="42"/>
    </row>
    <row r="87" spans="2:27" ht="13.9" thickBot="1"/>
    <row r="88" spans="2:27" ht="20.65">
      <c r="B88" s="146" t="s">
        <v>113</v>
      </c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8"/>
      <c r="Z88" s="42"/>
      <c r="AA88" s="42"/>
    </row>
    <row r="89" spans="2:27" s="51" customFormat="1">
      <c r="B89" s="50"/>
      <c r="D89" s="61"/>
      <c r="R89" s="63"/>
    </row>
    <row r="90" spans="2:27" ht="15">
      <c r="B90" s="179" t="s">
        <v>153</v>
      </c>
      <c r="C90" s="178"/>
      <c r="D90" s="139"/>
      <c r="E90" s="178" t="s">
        <v>154</v>
      </c>
      <c r="F90" s="178"/>
      <c r="G90" s="178"/>
      <c r="H90" s="79"/>
      <c r="I90" s="79"/>
      <c r="J90" s="79"/>
      <c r="K90" s="79"/>
      <c r="L90" s="51"/>
      <c r="M90" s="51"/>
      <c r="N90" s="51"/>
      <c r="O90" s="51"/>
      <c r="P90" s="51"/>
      <c r="Q90" s="51"/>
      <c r="R90" s="63"/>
    </row>
    <row r="91" spans="2:27" ht="13.9">
      <c r="B91" s="181" t="s">
        <v>146</v>
      </c>
      <c r="C91" s="182"/>
      <c r="D91" s="51"/>
      <c r="E91" s="183" t="s">
        <v>104</v>
      </c>
      <c r="F91" s="184"/>
      <c r="G91" s="21" t="s">
        <v>86</v>
      </c>
      <c r="H91" s="79"/>
      <c r="I91" s="79"/>
      <c r="J91" s="79"/>
      <c r="K91" s="79"/>
      <c r="L91" s="51"/>
      <c r="M91" s="51"/>
      <c r="N91" s="51"/>
      <c r="O91" s="51"/>
      <c r="P91" s="51"/>
      <c r="Q91" s="51"/>
      <c r="R91" s="63"/>
    </row>
    <row r="92" spans="2:27" ht="13.9">
      <c r="B92" s="69" t="s">
        <v>128</v>
      </c>
      <c r="C92" s="70">
        <f>$C$6*5</f>
        <v>130</v>
      </c>
      <c r="D92" s="51"/>
      <c r="E92" s="74" t="s">
        <v>74</v>
      </c>
      <c r="F92" s="75" t="s">
        <v>162</v>
      </c>
      <c r="G92" s="76">
        <v>1.02</v>
      </c>
      <c r="H92" s="79"/>
      <c r="I92" s="79"/>
      <c r="J92" s="79"/>
      <c r="K92" s="79"/>
      <c r="L92" s="51"/>
      <c r="M92" s="51"/>
      <c r="N92" s="51"/>
      <c r="O92" s="51"/>
      <c r="P92" s="51"/>
      <c r="Q92" s="51"/>
      <c r="R92" s="63"/>
    </row>
    <row r="93" spans="2:27" ht="13.9">
      <c r="B93" s="71" t="s">
        <v>129</v>
      </c>
      <c r="C93" s="70">
        <f>$C$6*4</f>
        <v>104</v>
      </c>
      <c r="D93" s="51"/>
      <c r="E93" s="74" t="s">
        <v>75</v>
      </c>
      <c r="F93" s="75" t="s">
        <v>163</v>
      </c>
      <c r="G93" s="76">
        <v>1.5</v>
      </c>
      <c r="H93" s="79"/>
      <c r="I93" s="79"/>
      <c r="J93" s="79"/>
      <c r="K93" s="79"/>
      <c r="L93" s="51"/>
      <c r="M93" s="51"/>
      <c r="N93" s="51"/>
      <c r="O93" s="51"/>
      <c r="P93" s="51"/>
      <c r="Q93" s="51"/>
      <c r="R93" s="63"/>
    </row>
    <row r="94" spans="2:27" ht="13.9">
      <c r="B94" s="69" t="s">
        <v>130</v>
      </c>
      <c r="C94" s="70">
        <f>$C$6*3</f>
        <v>78</v>
      </c>
      <c r="D94" s="61"/>
      <c r="E94" s="74" t="s">
        <v>157</v>
      </c>
      <c r="F94" s="75" t="s">
        <v>165</v>
      </c>
      <c r="G94" s="74">
        <v>1.75</v>
      </c>
      <c r="H94" s="79"/>
      <c r="I94" s="79"/>
      <c r="J94" s="79"/>
      <c r="K94" s="79"/>
      <c r="L94" s="51"/>
      <c r="M94" s="51"/>
      <c r="N94" s="51"/>
      <c r="O94" s="51"/>
      <c r="P94" s="51"/>
      <c r="Q94" s="51"/>
      <c r="R94" s="63"/>
    </row>
    <row r="95" spans="2:27" ht="13.9">
      <c r="B95" s="69" t="s">
        <v>131</v>
      </c>
      <c r="C95" s="70">
        <f>$C$6*2</f>
        <v>52</v>
      </c>
      <c r="D95" s="61"/>
      <c r="E95" s="61"/>
      <c r="F95" s="73"/>
      <c r="G95" s="61"/>
      <c r="H95" s="79"/>
      <c r="I95" s="79"/>
      <c r="J95" s="79"/>
      <c r="K95" s="79"/>
      <c r="L95" s="51"/>
      <c r="M95" s="51"/>
      <c r="N95" s="51"/>
      <c r="O95" s="51"/>
      <c r="P95" s="51"/>
      <c r="Q95" s="51"/>
      <c r="R95" s="63"/>
    </row>
    <row r="96" spans="2:27" ht="13.9">
      <c r="B96" s="69" t="s">
        <v>132</v>
      </c>
      <c r="C96" s="70">
        <f>$C$6*1</f>
        <v>26</v>
      </c>
      <c r="D96" s="61"/>
      <c r="E96" s="72"/>
      <c r="F96" s="73"/>
      <c r="G96" s="72"/>
      <c r="H96" s="79"/>
      <c r="I96" s="79"/>
      <c r="J96" s="79"/>
      <c r="K96" s="79"/>
      <c r="L96" s="51"/>
      <c r="M96" s="51"/>
      <c r="N96" s="51"/>
      <c r="O96" s="51"/>
      <c r="P96" s="51"/>
      <c r="Q96" s="51"/>
      <c r="R96" s="63"/>
    </row>
    <row r="97" spans="2:27">
      <c r="B97" s="69" t="s">
        <v>133</v>
      </c>
      <c r="C97" s="70">
        <f>$C$6*1/2</f>
        <v>13</v>
      </c>
      <c r="D97" s="61"/>
      <c r="E97" s="61"/>
      <c r="F97" s="61"/>
      <c r="G97" s="61"/>
      <c r="H97" s="79"/>
      <c r="I97" s="79"/>
      <c r="J97" s="79"/>
      <c r="K97" s="79"/>
      <c r="L97" s="51"/>
      <c r="M97" s="51"/>
      <c r="N97" s="51"/>
      <c r="O97" s="51"/>
      <c r="P97" s="51"/>
      <c r="Q97" s="51"/>
      <c r="R97" s="63"/>
    </row>
    <row r="98" spans="2:27">
      <c r="B98" s="69" t="s">
        <v>134</v>
      </c>
      <c r="C98" s="70">
        <f>$C$6*1/3</f>
        <v>8.6666666666666661</v>
      </c>
      <c r="D98" s="61"/>
      <c r="E98" s="61"/>
      <c r="F98" s="61"/>
      <c r="G98" s="72"/>
      <c r="H98" s="79"/>
      <c r="I98" s="79"/>
      <c r="J98" s="79"/>
      <c r="K98" s="79"/>
      <c r="L98" s="51"/>
      <c r="M98" s="51"/>
      <c r="N98" s="51"/>
      <c r="O98" s="51"/>
      <c r="P98" s="51"/>
      <c r="Q98" s="51"/>
      <c r="R98" s="63"/>
    </row>
    <row r="99" spans="2:27">
      <c r="B99" s="69" t="s">
        <v>135</v>
      </c>
      <c r="C99" s="70">
        <f>$C$6*1/6</f>
        <v>4.333333333333333</v>
      </c>
      <c r="D99" s="61"/>
      <c r="E99" s="61"/>
      <c r="F99" s="61"/>
      <c r="G99" s="61"/>
      <c r="H99" s="79"/>
      <c r="I99" s="79"/>
      <c r="J99" s="79"/>
      <c r="K99" s="79"/>
      <c r="L99" s="51"/>
      <c r="M99" s="51"/>
      <c r="N99" s="51"/>
      <c r="O99" s="51"/>
      <c r="P99" s="51"/>
      <c r="Q99" s="51"/>
      <c r="R99" s="63"/>
    </row>
    <row r="100" spans="2:27">
      <c r="B100" s="69" t="s">
        <v>136</v>
      </c>
      <c r="C100" s="70">
        <f>$C$6*1/14</f>
        <v>1.8571428571428572</v>
      </c>
      <c r="D100" s="51"/>
      <c r="E100" s="51"/>
      <c r="F100" s="51"/>
      <c r="G100" s="64"/>
      <c r="H100" s="79"/>
      <c r="I100" s="79"/>
      <c r="J100" s="79"/>
      <c r="K100" s="79"/>
      <c r="L100" s="51"/>
      <c r="M100" s="51"/>
      <c r="N100" s="51"/>
      <c r="O100" s="51"/>
      <c r="P100" s="51"/>
      <c r="Q100" s="51"/>
      <c r="R100" s="63"/>
    </row>
    <row r="101" spans="2:27">
      <c r="B101" s="69" t="s">
        <v>137</v>
      </c>
      <c r="C101" s="70">
        <f>$C$6*1/21</f>
        <v>1.2380952380952381</v>
      </c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63"/>
    </row>
    <row r="102" spans="2:27">
      <c r="B102" s="69" t="s">
        <v>138</v>
      </c>
      <c r="C102" s="70">
        <f>$C$6*1/26</f>
        <v>1</v>
      </c>
      <c r="D102" s="51"/>
      <c r="E102" s="51"/>
      <c r="F102" s="51"/>
      <c r="G102" s="64"/>
      <c r="H102" s="64"/>
      <c r="I102" s="51"/>
      <c r="J102" s="51"/>
      <c r="K102" s="51"/>
      <c r="L102" s="51"/>
      <c r="M102" s="51"/>
      <c r="N102" s="51"/>
      <c r="O102" s="51"/>
      <c r="P102" s="51"/>
      <c r="Q102" s="51"/>
      <c r="R102" s="63"/>
    </row>
    <row r="103" spans="2:27">
      <c r="B103" s="69" t="s">
        <v>139</v>
      </c>
      <c r="C103" s="70">
        <f>$C$6*1/52</f>
        <v>0.5</v>
      </c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63"/>
    </row>
    <row r="104" spans="2:27">
      <c r="B104" s="74" t="s">
        <v>167</v>
      </c>
      <c r="C104" s="70">
        <f>$C$6*1/78</f>
        <v>0.33333333333333331</v>
      </c>
      <c r="D104" s="61"/>
      <c r="E104" s="6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63"/>
    </row>
    <row r="105" spans="2:27" ht="22.9" thickBot="1">
      <c r="B105" s="66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8"/>
      <c r="Z105" s="42"/>
      <c r="AA105" s="42"/>
    </row>
    <row r="106" spans="2:27">
      <c r="B106" s="45"/>
      <c r="C106" s="46"/>
      <c r="D106" s="46"/>
      <c r="E106" s="46"/>
      <c r="F106" s="46"/>
      <c r="G106" s="46"/>
      <c r="H106" s="46"/>
      <c r="I106" s="47" t="s">
        <v>104</v>
      </c>
      <c r="J106" s="47"/>
      <c r="K106" s="48">
        <v>1</v>
      </c>
      <c r="L106" s="48">
        <v>1.05</v>
      </c>
      <c r="M106" s="48">
        <v>1.1000000000000001</v>
      </c>
      <c r="N106" s="48">
        <v>1.1499999999999999</v>
      </c>
      <c r="O106" s="48">
        <v>1</v>
      </c>
      <c r="P106" s="48">
        <v>1.05</v>
      </c>
      <c r="Q106" s="48">
        <v>1.1000000000000001</v>
      </c>
      <c r="R106" s="49">
        <v>1.1499999999999999</v>
      </c>
    </row>
    <row r="107" spans="2:27" ht="13.9">
      <c r="B107" s="50"/>
      <c r="C107" s="51"/>
      <c r="D107" s="51"/>
      <c r="E107" s="51"/>
      <c r="F107" s="51"/>
      <c r="G107" s="51"/>
      <c r="H107" s="51"/>
      <c r="I107" s="51"/>
      <c r="J107" s="51"/>
      <c r="K107" s="175" t="s">
        <v>121</v>
      </c>
      <c r="L107" s="175"/>
      <c r="M107" s="175"/>
      <c r="N107" s="175"/>
      <c r="O107" s="176" t="s">
        <v>120</v>
      </c>
      <c r="P107" s="176"/>
      <c r="Q107" s="176"/>
      <c r="R107" s="177"/>
      <c r="Z107" s="42"/>
      <c r="AA107" s="42"/>
    </row>
    <row r="108" spans="2:27" ht="17.649999999999999">
      <c r="B108" s="120" t="s">
        <v>155</v>
      </c>
      <c r="C108" s="121" t="s">
        <v>108</v>
      </c>
      <c r="D108" s="121" t="s">
        <v>119</v>
      </c>
      <c r="E108" s="121" t="s">
        <v>143</v>
      </c>
      <c r="F108" s="121" t="s">
        <v>142</v>
      </c>
      <c r="G108" s="122" t="s">
        <v>112</v>
      </c>
      <c r="H108" s="122" t="s">
        <v>105</v>
      </c>
      <c r="I108" s="122" t="s">
        <v>141</v>
      </c>
      <c r="J108" s="122" t="s">
        <v>140</v>
      </c>
      <c r="K108" s="77" t="s">
        <v>127</v>
      </c>
      <c r="L108" s="77" t="s">
        <v>144</v>
      </c>
      <c r="M108" s="77" t="s">
        <v>63</v>
      </c>
      <c r="N108" s="77" t="s">
        <v>66</v>
      </c>
      <c r="O108" s="95" t="s">
        <v>127</v>
      </c>
      <c r="P108" s="95" t="s">
        <v>115</v>
      </c>
      <c r="Q108" s="95" t="s">
        <v>63</v>
      </c>
      <c r="R108" s="96" t="s">
        <v>66</v>
      </c>
    </row>
    <row r="109" spans="2:27">
      <c r="B109" s="52" t="s">
        <v>158</v>
      </c>
      <c r="C109" s="31">
        <v>20</v>
      </c>
      <c r="D109" s="39">
        <f>C109/60</f>
        <v>0.33333333333333331</v>
      </c>
      <c r="E109" s="39">
        <f>D109*$C$46/26</f>
        <v>1.6666666666666665</v>
      </c>
      <c r="F109" s="32">
        <f>D109*$C$46</f>
        <v>43.333333333333329</v>
      </c>
      <c r="G109" s="33">
        <f>$C$8*D109</f>
        <v>9.6153846153846145E-2</v>
      </c>
      <c r="H109" s="31">
        <v>0.5</v>
      </c>
      <c r="I109" s="34">
        <f>G109*H109/$C$6</f>
        <v>1.8491124260355029E-3</v>
      </c>
      <c r="J109" s="35">
        <f>G109*H109</f>
        <v>4.8076923076923073E-2</v>
      </c>
      <c r="K109" s="78">
        <f>G109*$K$60</f>
        <v>9.6153846153846145E-2</v>
      </c>
      <c r="L109" s="78">
        <f>G109*$L$60</f>
        <v>0.10096153846153846</v>
      </c>
      <c r="M109" s="78">
        <f>G109*$M$60</f>
        <v>0.10576923076923077</v>
      </c>
      <c r="N109" s="78">
        <f>G109*$N$60</f>
        <v>0.11057692307692306</v>
      </c>
      <c r="O109" s="93">
        <f>D109*$O$60</f>
        <v>0.33333333333333331</v>
      </c>
      <c r="P109" s="93">
        <f>D109*$P$60</f>
        <v>0.35</v>
      </c>
      <c r="Q109" s="93">
        <f>D109*$Q$60</f>
        <v>0.3666666666666667</v>
      </c>
      <c r="R109" s="94">
        <f>D109*$R$60</f>
        <v>0.3833333333333333</v>
      </c>
      <c r="Z109" s="42"/>
      <c r="AA109" s="42"/>
    </row>
    <row r="110" spans="2:27">
      <c r="B110" s="52" t="s">
        <v>159</v>
      </c>
      <c r="C110" s="31">
        <v>10</v>
      </c>
      <c r="D110" s="39">
        <f t="shared" ref="D110:D112" si="58">C110/60</f>
        <v>0.16666666666666666</v>
      </c>
      <c r="E110" s="39">
        <f>D110*$C$46/26</f>
        <v>0.83333333333333326</v>
      </c>
      <c r="F110" s="32">
        <f>D110*$C$46</f>
        <v>21.666666666666664</v>
      </c>
      <c r="G110" s="33">
        <f>$C$8*D110</f>
        <v>4.8076923076923073E-2</v>
      </c>
      <c r="H110" s="31">
        <v>130</v>
      </c>
      <c r="I110" s="34">
        <f>G110*H110/$C$6</f>
        <v>0.24038461538461536</v>
      </c>
      <c r="J110" s="35">
        <f t="shared" ref="J110:J112" si="59">G110*H110</f>
        <v>6.2499999999999991</v>
      </c>
      <c r="K110" s="78">
        <f>G110*$K$60</f>
        <v>4.8076923076923073E-2</v>
      </c>
      <c r="L110" s="78">
        <f>G110*$L$60</f>
        <v>5.0480769230769232E-2</v>
      </c>
      <c r="M110" s="78">
        <f>G110*$M$60</f>
        <v>5.2884615384615384E-2</v>
      </c>
      <c r="N110" s="78">
        <f>G110*$N$60</f>
        <v>5.5288461538461529E-2</v>
      </c>
      <c r="O110" s="93">
        <f>D110*$O$60</f>
        <v>0.16666666666666666</v>
      </c>
      <c r="P110" s="93">
        <f>D110*$P$60</f>
        <v>0.17499999999999999</v>
      </c>
      <c r="Q110" s="93">
        <f>D110*$Q$60</f>
        <v>0.18333333333333335</v>
      </c>
      <c r="R110" s="94">
        <f>D110*$R$60</f>
        <v>0.19166666666666665</v>
      </c>
    </row>
    <row r="111" spans="2:27">
      <c r="B111" s="52" t="s">
        <v>160</v>
      </c>
      <c r="C111" s="31">
        <v>10</v>
      </c>
      <c r="D111" s="39">
        <f t="shared" si="58"/>
        <v>0.16666666666666666</v>
      </c>
      <c r="E111" s="39">
        <f>D111*$C$46/26</f>
        <v>0.83333333333333326</v>
      </c>
      <c r="F111" s="32">
        <f>D111*$C$46</f>
        <v>21.666666666666664</v>
      </c>
      <c r="G111" s="33">
        <f>$C$8*D111</f>
        <v>4.8076923076923073E-2</v>
      </c>
      <c r="H111" s="31">
        <v>130</v>
      </c>
      <c r="I111" s="34">
        <f>G111*H111/$C$6</f>
        <v>0.24038461538461536</v>
      </c>
      <c r="J111" s="35">
        <f t="shared" si="59"/>
        <v>6.2499999999999991</v>
      </c>
      <c r="K111" s="78">
        <f>G111*$K$60</f>
        <v>4.8076923076923073E-2</v>
      </c>
      <c r="L111" s="78">
        <f>G111*$L$60</f>
        <v>5.0480769230769232E-2</v>
      </c>
      <c r="M111" s="78">
        <f>G111*$M$60</f>
        <v>5.2884615384615384E-2</v>
      </c>
      <c r="N111" s="78">
        <f>G111*$N$60</f>
        <v>5.5288461538461529E-2</v>
      </c>
      <c r="O111" s="93">
        <f>D111*$O$60</f>
        <v>0.16666666666666666</v>
      </c>
      <c r="P111" s="93">
        <f>D111*$P$60</f>
        <v>0.17499999999999999</v>
      </c>
      <c r="Q111" s="93">
        <f>D111*$Q$60</f>
        <v>0.18333333333333335</v>
      </c>
      <c r="R111" s="94">
        <f>D111*$R$60</f>
        <v>0.19166666666666665</v>
      </c>
      <c r="Z111" s="42"/>
      <c r="AA111" s="42"/>
    </row>
    <row r="112" spans="2:27">
      <c r="B112" s="52" t="s">
        <v>161</v>
      </c>
      <c r="C112" s="31">
        <v>10</v>
      </c>
      <c r="D112" s="39">
        <f t="shared" si="58"/>
        <v>0.16666666666666666</v>
      </c>
      <c r="E112" s="39">
        <f>D112*$C$46/26</f>
        <v>0.83333333333333326</v>
      </c>
      <c r="F112" s="32">
        <f>D112*$C$46</f>
        <v>21.666666666666664</v>
      </c>
      <c r="G112" s="33">
        <f>$C$8*D112</f>
        <v>4.8076923076923073E-2</v>
      </c>
      <c r="H112" s="31">
        <v>130</v>
      </c>
      <c r="I112" s="34">
        <f>G112*H112/$C$6</f>
        <v>0.24038461538461536</v>
      </c>
      <c r="J112" s="35">
        <f t="shared" si="59"/>
        <v>6.2499999999999991</v>
      </c>
      <c r="K112" s="78">
        <f>G112*$K$60</f>
        <v>4.8076923076923073E-2</v>
      </c>
      <c r="L112" s="78">
        <f>G112*$L$60</f>
        <v>5.0480769230769232E-2</v>
      </c>
      <c r="M112" s="78">
        <f>G112*$M$60</f>
        <v>5.2884615384615384E-2</v>
      </c>
      <c r="N112" s="78">
        <f>G112*$N$60</f>
        <v>5.5288461538461529E-2</v>
      </c>
      <c r="O112" s="93">
        <f>D112*$O$60</f>
        <v>0.16666666666666666</v>
      </c>
      <c r="P112" s="93">
        <f>D112*$P$60</f>
        <v>0.17499999999999999</v>
      </c>
      <c r="Q112" s="93">
        <f>D112*$Q$60</f>
        <v>0.18333333333333335</v>
      </c>
      <c r="R112" s="94">
        <f>D112*$R$60</f>
        <v>0.19166666666666665</v>
      </c>
    </row>
    <row r="113" spans="2:27" ht="14.25" thickBot="1">
      <c r="B113" s="54"/>
      <c r="C113" s="55"/>
      <c r="D113" s="123">
        <f>SUM(D109:D112)</f>
        <v>0.83333333333333326</v>
      </c>
      <c r="E113" s="123">
        <f>SUM(E109:E112)</f>
        <v>4.1666666666666661</v>
      </c>
      <c r="F113" s="123">
        <f>SUM(F109:F112)</f>
        <v>108.33333333333331</v>
      </c>
      <c r="G113" s="124">
        <f>$C$8*D113</f>
        <v>0.24038461538461534</v>
      </c>
      <c r="H113" s="125"/>
      <c r="I113" s="126">
        <f>SUM(I109:I112)</f>
        <v>0.72300295857988162</v>
      </c>
      <c r="J113" s="127">
        <f>SUM(J109:J112)</f>
        <v>18.79807692307692</v>
      </c>
      <c r="K113" s="74"/>
      <c r="L113" s="74"/>
      <c r="M113" s="74"/>
      <c r="N113" s="74"/>
      <c r="O113" s="97"/>
      <c r="P113" s="97"/>
      <c r="Q113" s="97"/>
      <c r="R113" s="149"/>
      <c r="Z113" s="42"/>
      <c r="AA113" s="42"/>
    </row>
    <row r="114" spans="2:27">
      <c r="B114" s="50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63"/>
    </row>
    <row r="115" spans="2:27" ht="13.9" thickBot="1">
      <c r="B115" s="50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63"/>
      <c r="Z115" s="42"/>
      <c r="AA115" s="42"/>
    </row>
    <row r="116" spans="2:27">
      <c r="B116" s="45"/>
      <c r="C116" s="46"/>
      <c r="D116" s="46"/>
      <c r="E116" s="46"/>
      <c r="F116" s="46"/>
      <c r="G116" s="46"/>
      <c r="H116" s="46"/>
      <c r="I116" s="47" t="s">
        <v>104</v>
      </c>
      <c r="J116" s="47"/>
      <c r="K116" s="48">
        <v>1</v>
      </c>
      <c r="L116" s="48">
        <v>1.05</v>
      </c>
      <c r="M116" s="48">
        <v>1.1000000000000001</v>
      </c>
      <c r="N116" s="48">
        <v>1.1499999999999999</v>
      </c>
      <c r="O116" s="48">
        <v>1</v>
      </c>
      <c r="P116" s="48">
        <v>1.05</v>
      </c>
      <c r="Q116" s="48">
        <v>1.1000000000000001</v>
      </c>
      <c r="R116" s="49">
        <v>1.1499999999999999</v>
      </c>
    </row>
    <row r="117" spans="2:27" ht="13.9">
      <c r="B117" s="50"/>
      <c r="C117" s="51"/>
      <c r="D117" s="51"/>
      <c r="E117" s="51"/>
      <c r="F117" s="51"/>
      <c r="G117" s="51"/>
      <c r="H117" s="51"/>
      <c r="I117" s="51"/>
      <c r="J117" s="51"/>
      <c r="K117" s="175" t="s">
        <v>121</v>
      </c>
      <c r="L117" s="175"/>
      <c r="M117" s="175"/>
      <c r="N117" s="175"/>
      <c r="O117" s="176" t="s">
        <v>120</v>
      </c>
      <c r="P117" s="176"/>
      <c r="Q117" s="176"/>
      <c r="R117" s="177"/>
      <c r="Z117" s="42"/>
      <c r="AA117" s="42"/>
    </row>
    <row r="118" spans="2:27" ht="17.649999999999999">
      <c r="B118" s="120" t="s">
        <v>156</v>
      </c>
      <c r="C118" s="121" t="s">
        <v>108</v>
      </c>
      <c r="D118" s="121" t="s">
        <v>119</v>
      </c>
      <c r="E118" s="121" t="s">
        <v>143</v>
      </c>
      <c r="F118" s="121" t="s">
        <v>142</v>
      </c>
      <c r="G118" s="122" t="s">
        <v>112</v>
      </c>
      <c r="H118" s="122" t="s">
        <v>105</v>
      </c>
      <c r="I118" s="122" t="s">
        <v>141</v>
      </c>
      <c r="J118" s="122" t="s">
        <v>140</v>
      </c>
      <c r="K118" s="77" t="s">
        <v>127</v>
      </c>
      <c r="L118" s="77" t="s">
        <v>144</v>
      </c>
      <c r="M118" s="77" t="s">
        <v>63</v>
      </c>
      <c r="N118" s="77" t="s">
        <v>66</v>
      </c>
      <c r="O118" s="95" t="s">
        <v>127</v>
      </c>
      <c r="P118" s="95" t="s">
        <v>115</v>
      </c>
      <c r="Q118" s="95" t="s">
        <v>63</v>
      </c>
      <c r="R118" s="96" t="s">
        <v>66</v>
      </c>
    </row>
    <row r="119" spans="2:27">
      <c r="B119" s="58" t="s">
        <v>74</v>
      </c>
      <c r="C119" s="31">
        <v>20</v>
      </c>
      <c r="D119" s="39">
        <f>C119/60</f>
        <v>0.33333333333333331</v>
      </c>
      <c r="E119" s="39">
        <f>D119*$C$46/26</f>
        <v>1.6666666666666665</v>
      </c>
      <c r="F119" s="32">
        <f>D119*$C$46</f>
        <v>43.333333333333329</v>
      </c>
      <c r="G119" s="33">
        <f>$C$8*D119</f>
        <v>9.6153846153846145E-2</v>
      </c>
      <c r="H119" s="31">
        <v>130</v>
      </c>
      <c r="I119" s="34">
        <f>G119*H119/$C$6</f>
        <v>0.48076923076923073</v>
      </c>
      <c r="J119" s="35">
        <f>G119*H119</f>
        <v>12.499999999999998</v>
      </c>
      <c r="K119" s="78">
        <f>G119*$K$60</f>
        <v>9.6153846153846145E-2</v>
      </c>
      <c r="L119" s="78">
        <f>G119*$L$60</f>
        <v>0.10096153846153846</v>
      </c>
      <c r="M119" s="78">
        <f>G119*$M$60</f>
        <v>0.10576923076923077</v>
      </c>
      <c r="N119" s="78">
        <f>G119*$N$60</f>
        <v>0.11057692307692306</v>
      </c>
      <c r="O119" s="93">
        <f>D119*$O$60</f>
        <v>0.33333333333333331</v>
      </c>
      <c r="P119" s="93">
        <f>D119*$P$60</f>
        <v>0.35</v>
      </c>
      <c r="Q119" s="93">
        <f>D119*$Q$60</f>
        <v>0.3666666666666667</v>
      </c>
      <c r="R119" s="94">
        <f>D119*$R$60</f>
        <v>0.3833333333333333</v>
      </c>
      <c r="Z119" s="42"/>
      <c r="AA119" s="42"/>
    </row>
    <row r="120" spans="2:27">
      <c r="B120" s="58" t="s">
        <v>75</v>
      </c>
      <c r="C120" s="31">
        <v>30</v>
      </c>
      <c r="D120" s="39">
        <f t="shared" ref="D120:D121" si="60">C120/60</f>
        <v>0.5</v>
      </c>
      <c r="E120" s="39">
        <f>D120*$C$46/26</f>
        <v>2.5</v>
      </c>
      <c r="F120" s="32">
        <f>D120*$C$46</f>
        <v>65</v>
      </c>
      <c r="G120" s="33">
        <f>$C$8*D120</f>
        <v>0.14423076923076922</v>
      </c>
      <c r="H120" s="31">
        <v>130</v>
      </c>
      <c r="I120" s="34">
        <f>G120*H120/$C$6</f>
        <v>0.72115384615384615</v>
      </c>
      <c r="J120" s="35">
        <f t="shared" ref="J120:J121" si="61">G120*H120</f>
        <v>18.75</v>
      </c>
      <c r="K120" s="78">
        <f>G120*$K$60</f>
        <v>0.14423076923076922</v>
      </c>
      <c r="L120" s="78">
        <f>G120*$L$60</f>
        <v>0.15144230769230768</v>
      </c>
      <c r="M120" s="78">
        <f>G120*$M$60</f>
        <v>0.15865384615384615</v>
      </c>
      <c r="N120" s="78">
        <f>G120*$N$60</f>
        <v>0.16586538461538458</v>
      </c>
      <c r="O120" s="93">
        <f>D120*$O$60</f>
        <v>0.5</v>
      </c>
      <c r="P120" s="93">
        <f>D120*$P$60</f>
        <v>0.52500000000000002</v>
      </c>
      <c r="Q120" s="93">
        <f>D120*$Q$60</f>
        <v>0.55000000000000004</v>
      </c>
      <c r="R120" s="94">
        <f>D120*$R$60</f>
        <v>0.57499999999999996</v>
      </c>
    </row>
    <row r="121" spans="2:27">
      <c r="B121" s="58" t="s">
        <v>157</v>
      </c>
      <c r="C121" s="31">
        <v>60</v>
      </c>
      <c r="D121" s="39">
        <f t="shared" si="60"/>
        <v>1</v>
      </c>
      <c r="E121" s="39">
        <f>D121*$C$46/26</f>
        <v>5</v>
      </c>
      <c r="F121" s="32">
        <f>D121*$C$46</f>
        <v>130</v>
      </c>
      <c r="G121" s="33">
        <f>$C$8*D121</f>
        <v>0.28846153846153844</v>
      </c>
      <c r="H121" s="31">
        <v>130</v>
      </c>
      <c r="I121" s="34">
        <f>G121*H121/$C$6</f>
        <v>1.4423076923076923</v>
      </c>
      <c r="J121" s="35">
        <f t="shared" si="61"/>
        <v>37.5</v>
      </c>
      <c r="K121" s="78">
        <f>G121*$K$60</f>
        <v>0.28846153846153844</v>
      </c>
      <c r="L121" s="78">
        <f>G121*$L$60</f>
        <v>0.30288461538461536</v>
      </c>
      <c r="M121" s="78">
        <f>G121*$M$60</f>
        <v>0.31730769230769229</v>
      </c>
      <c r="N121" s="78">
        <f>G121*$N$60</f>
        <v>0.33173076923076916</v>
      </c>
      <c r="O121" s="93">
        <f>D121*$O$60</f>
        <v>1</v>
      </c>
      <c r="P121" s="93">
        <f>D121*$P$60</f>
        <v>1.05</v>
      </c>
      <c r="Q121" s="93">
        <f>D121*$Q$60</f>
        <v>1.1000000000000001</v>
      </c>
      <c r="R121" s="94">
        <f>D121*$R$60</f>
        <v>1.1499999999999999</v>
      </c>
      <c r="Z121" s="42"/>
      <c r="AA121" s="42"/>
    </row>
    <row r="122" spans="2:27" ht="14.25" thickBot="1">
      <c r="B122" s="59"/>
      <c r="C122" s="55"/>
      <c r="D122" s="123">
        <f>SUM(D119:D121)</f>
        <v>1.8333333333333333</v>
      </c>
      <c r="E122" s="123">
        <f>SUM(E119:E121)</f>
        <v>9.1666666666666661</v>
      </c>
      <c r="F122" s="123">
        <f>SUM(F119:F121)</f>
        <v>238.33333333333331</v>
      </c>
      <c r="G122" s="124">
        <f>$C$8*D122</f>
        <v>0.52884615384615374</v>
      </c>
      <c r="H122" s="125"/>
      <c r="I122" s="126">
        <f>SUM(I119:I121)</f>
        <v>2.6442307692307692</v>
      </c>
      <c r="J122" s="127">
        <f>SUM(J119:J121)</f>
        <v>68.75</v>
      </c>
      <c r="K122" s="150"/>
      <c r="L122" s="150"/>
      <c r="M122" s="150"/>
      <c r="N122" s="150"/>
      <c r="O122" s="151"/>
      <c r="P122" s="151"/>
      <c r="Q122" s="151"/>
      <c r="R122" s="152"/>
      <c r="Z122" s="42"/>
      <c r="AA122" s="42"/>
    </row>
    <row r="124" spans="2:27">
      <c r="Z124" s="42"/>
      <c r="AA124" s="42"/>
    </row>
    <row r="126" spans="2:27">
      <c r="Z126" s="42"/>
      <c r="AA126" s="42"/>
    </row>
    <row r="128" spans="2:27">
      <c r="Z128" s="42"/>
      <c r="AA128" s="42"/>
    </row>
    <row r="130" spans="26:27">
      <c r="Z130" s="42"/>
      <c r="AA130" s="42"/>
    </row>
    <row r="132" spans="26:27">
      <c r="Z132" s="42"/>
      <c r="AA132" s="42"/>
    </row>
    <row r="134" spans="26:27">
      <c r="Z134" s="42"/>
      <c r="AA134" s="42"/>
    </row>
    <row r="136" spans="26:27">
      <c r="Z136" s="42"/>
      <c r="AA136" s="42"/>
    </row>
    <row r="138" spans="26:27">
      <c r="Z138" s="42"/>
      <c r="AA138" s="42"/>
    </row>
    <row r="140" spans="26:27">
      <c r="Z140" s="42"/>
      <c r="AA140" s="42"/>
    </row>
  </sheetData>
  <mergeCells count="31">
    <mergeCell ref="AD26:AF26"/>
    <mergeCell ref="AG26:AI26"/>
    <mergeCell ref="E3:F3"/>
    <mergeCell ref="E4:F4"/>
    <mergeCell ref="E25:S25"/>
    <mergeCell ref="U25:AI25"/>
    <mergeCell ref="E26:G26"/>
    <mergeCell ref="H26:J26"/>
    <mergeCell ref="K26:M26"/>
    <mergeCell ref="N26:P26"/>
    <mergeCell ref="Q26:S26"/>
    <mergeCell ref="U26:W26"/>
    <mergeCell ref="X26:Z26"/>
    <mergeCell ref="AA26:AC26"/>
    <mergeCell ref="E44:G44"/>
    <mergeCell ref="B44:C44"/>
    <mergeCell ref="I44:J44"/>
    <mergeCell ref="K73:N73"/>
    <mergeCell ref="O73:R73"/>
    <mergeCell ref="K61:N61"/>
    <mergeCell ref="O61:R61"/>
    <mergeCell ref="B45:C45"/>
    <mergeCell ref="E45:F45"/>
    <mergeCell ref="K117:N117"/>
    <mergeCell ref="O117:R117"/>
    <mergeCell ref="E90:G90"/>
    <mergeCell ref="B90:C90"/>
    <mergeCell ref="B91:C91"/>
    <mergeCell ref="E91:F91"/>
    <mergeCell ref="K107:N107"/>
    <mergeCell ref="O107:R107"/>
  </mergeCells>
  <dataValidations count="2">
    <dataValidation type="list" allowBlank="1" showInputMessage="1" showErrorMessage="1" sqref="H63:H68 H75:H83 H119:H121 H110:H112" xr:uid="{B8BAECEB-D458-4BF1-8FDE-B225A4684E10}">
      <formula1>$C$46:$C$57</formula1>
    </dataValidation>
    <dataValidation type="list" allowBlank="1" showInputMessage="1" showErrorMessage="1" sqref="H109" xr:uid="{7C97BB89-D5E4-4281-8DEE-16C3614D7F92}">
      <formula1>$C$92:$C$104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0295-BB8C-4659-A546-134176B2E1F3}">
  <dimension ref="B1:L78"/>
  <sheetViews>
    <sheetView workbookViewId="0">
      <selection activeCell="C4" sqref="C4"/>
    </sheetView>
  </sheetViews>
  <sheetFormatPr defaultColWidth="9.125" defaultRowHeight="13.5"/>
  <cols>
    <col min="1" max="1" width="9.125" style="24"/>
    <col min="2" max="2" width="26.125" style="24" bestFit="1" customWidth="1"/>
    <col min="3" max="3" width="63.5625" style="24" bestFit="1" customWidth="1"/>
    <col min="4" max="4" width="9.6875" style="24" bestFit="1" customWidth="1"/>
    <col min="5" max="5" width="18.125" style="24" bestFit="1" customWidth="1"/>
    <col min="6" max="6" width="7" style="24" bestFit="1" customWidth="1"/>
    <col min="7" max="7" width="6.3125" style="24" bestFit="1" customWidth="1"/>
    <col min="8" max="8" width="10.4375" style="24" bestFit="1" customWidth="1"/>
    <col min="9" max="9" width="10.5625" style="24" bestFit="1" customWidth="1"/>
    <col min="10" max="10" width="8" style="24" bestFit="1" customWidth="1"/>
    <col min="11" max="11" width="8.3125" style="24" bestFit="1" customWidth="1"/>
    <col min="12" max="16384" width="9.125" style="24"/>
  </cols>
  <sheetData>
    <row r="1" spans="2:12" ht="15">
      <c r="E1" s="191" t="s">
        <v>153</v>
      </c>
      <c r="F1" s="191"/>
    </row>
    <row r="2" spans="2:12" ht="13.9">
      <c r="B2" s="29" t="s">
        <v>79</v>
      </c>
      <c r="C2" s="30">
        <v>90</v>
      </c>
      <c r="E2" s="201" t="s">
        <v>146</v>
      </c>
      <c r="F2" s="201"/>
    </row>
    <row r="3" spans="2:12">
      <c r="B3" s="29" t="s">
        <v>76</v>
      </c>
      <c r="C3" s="36">
        <v>12</v>
      </c>
      <c r="E3" s="29" t="s">
        <v>128</v>
      </c>
      <c r="F3" s="43">
        <f>$C$4*5</f>
        <v>130</v>
      </c>
    </row>
    <row r="4" spans="2:12">
      <c r="B4" s="29" t="s">
        <v>77</v>
      </c>
      <c r="C4" s="36">
        <v>26</v>
      </c>
      <c r="E4" s="44" t="s">
        <v>129</v>
      </c>
      <c r="F4" s="43">
        <f>$C$4*4</f>
        <v>104</v>
      </c>
    </row>
    <row r="5" spans="2:12">
      <c r="B5" s="29" t="s">
        <v>78</v>
      </c>
      <c r="C5" s="36">
        <f>C3*C4</f>
        <v>312</v>
      </c>
      <c r="E5" s="29" t="s">
        <v>130</v>
      </c>
      <c r="F5" s="43">
        <f>$C$4*3</f>
        <v>78</v>
      </c>
    </row>
    <row r="6" spans="2:12" ht="13.9">
      <c r="B6" s="29" t="s">
        <v>81</v>
      </c>
      <c r="C6" s="30">
        <f>C2/C5</f>
        <v>0.28846153846153844</v>
      </c>
      <c r="E6" s="29" t="s">
        <v>131</v>
      </c>
      <c r="F6" s="43">
        <f>$C$4*2</f>
        <v>52</v>
      </c>
    </row>
    <row r="7" spans="2:12">
      <c r="B7" s="29" t="e" vm="1">
        <v>#VALUE!</v>
      </c>
      <c r="C7" s="37" t="e" cm="1" vm="2">
        <f t="array" ref="C7">_FV(B7,"Price")</f>
        <v>#VALUE!</v>
      </c>
      <c r="E7" s="29" t="s">
        <v>132</v>
      </c>
      <c r="F7" s="43">
        <f>$C$4*1</f>
        <v>26</v>
      </c>
    </row>
    <row r="8" spans="2:12">
      <c r="E8" s="29" t="s">
        <v>133</v>
      </c>
      <c r="F8" s="43">
        <f>$C$4*1/2</f>
        <v>13</v>
      </c>
    </row>
    <row r="9" spans="2:12">
      <c r="B9" s="24" t="s">
        <v>111</v>
      </c>
      <c r="E9" s="29" t="s">
        <v>134</v>
      </c>
      <c r="F9" s="43">
        <f>$C$4*1/3</f>
        <v>8.6666666666666661</v>
      </c>
    </row>
    <row r="10" spans="2:12">
      <c r="E10" s="29" t="s">
        <v>135</v>
      </c>
      <c r="F10" s="43">
        <f>$C$4*1/6</f>
        <v>4.333333333333333</v>
      </c>
    </row>
    <row r="11" spans="2:12">
      <c r="E11" s="29" t="s">
        <v>136</v>
      </c>
      <c r="F11" s="43">
        <f>$C$4*1/14</f>
        <v>1.8571428571428572</v>
      </c>
    </row>
    <row r="12" spans="2:12">
      <c r="E12" s="29" t="s">
        <v>137</v>
      </c>
      <c r="F12" s="43">
        <f>$C$4*1/21</f>
        <v>1.2380952380952381</v>
      </c>
    </row>
    <row r="13" spans="2:12">
      <c r="E13" s="29" t="s">
        <v>138</v>
      </c>
      <c r="F13" s="43">
        <f>$C$4*1/26</f>
        <v>1</v>
      </c>
    </row>
    <row r="14" spans="2:12">
      <c r="E14" s="29" t="s">
        <v>139</v>
      </c>
      <c r="F14" s="43">
        <f>$C$4*1/52</f>
        <v>0.5</v>
      </c>
    </row>
    <row r="16" spans="2:12" ht="20.65">
      <c r="B16" s="26" t="s">
        <v>100</v>
      </c>
      <c r="G16" s="60"/>
      <c r="H16" s="60"/>
      <c r="I16" s="60"/>
      <c r="J16" s="60"/>
      <c r="K16" s="60"/>
      <c r="L16" s="60"/>
    </row>
    <row r="17" spans="2:12" ht="13.9">
      <c r="B17" s="171" t="s">
        <v>166</v>
      </c>
      <c r="G17" s="60"/>
      <c r="H17" s="60"/>
      <c r="I17" s="60"/>
      <c r="J17" s="60"/>
      <c r="K17" s="153"/>
      <c r="L17" s="60"/>
    </row>
    <row r="18" spans="2:12" ht="13.9">
      <c r="B18" s="166"/>
      <c r="G18" s="60"/>
      <c r="H18" s="60"/>
      <c r="I18" s="60"/>
      <c r="J18" s="60"/>
      <c r="K18" s="153"/>
      <c r="L18" s="60"/>
    </row>
    <row r="19" spans="2:12" ht="15" customHeight="1">
      <c r="D19" s="61"/>
      <c r="E19" s="167"/>
      <c r="F19" s="167"/>
      <c r="G19" s="167"/>
      <c r="H19" s="167"/>
      <c r="I19" s="167"/>
      <c r="J19" s="167"/>
      <c r="K19" s="168"/>
      <c r="L19" s="61"/>
    </row>
    <row r="20" spans="2:12" ht="13.9">
      <c r="B20" s="38" t="s">
        <v>17</v>
      </c>
      <c r="C20" s="38" t="s">
        <v>18</v>
      </c>
      <c r="D20" s="169" t="s">
        <v>92</v>
      </c>
      <c r="E20" s="154" t="s">
        <v>86</v>
      </c>
      <c r="F20" s="28" t="s">
        <v>108</v>
      </c>
      <c r="G20" s="154" t="s">
        <v>109</v>
      </c>
      <c r="H20" s="28" t="s">
        <v>105</v>
      </c>
      <c r="I20" s="154" t="s">
        <v>85</v>
      </c>
      <c r="J20" s="154" t="s">
        <v>84</v>
      </c>
      <c r="K20" s="154" t="s">
        <v>110</v>
      </c>
    </row>
    <row r="21" spans="2:12" ht="13.9">
      <c r="B21" s="155"/>
      <c r="C21" s="156"/>
      <c r="D21" s="170"/>
      <c r="E21" s="114"/>
      <c r="F21" s="98"/>
      <c r="G21" s="158"/>
      <c r="H21" s="98"/>
      <c r="I21" s="114"/>
      <c r="J21" s="114"/>
      <c r="K21" s="114"/>
    </row>
    <row r="22" spans="2:12" ht="13.9">
      <c r="B22" s="155" t="s">
        <v>19</v>
      </c>
      <c r="C22" s="159" t="s">
        <v>107</v>
      </c>
      <c r="D22" s="157">
        <v>1</v>
      </c>
      <c r="E22" s="160">
        <f>$C$6</f>
        <v>0.28846153846153844</v>
      </c>
      <c r="F22" s="164">
        <v>15</v>
      </c>
      <c r="G22" s="158">
        <f>F22/60</f>
        <v>0.25</v>
      </c>
      <c r="H22" s="112">
        <v>130</v>
      </c>
      <c r="I22" s="158">
        <f>H22/26*(F22/60)</f>
        <v>1.25</v>
      </c>
      <c r="J22" s="172">
        <f>E22*I22</f>
        <v>0.36057692307692302</v>
      </c>
      <c r="K22" s="172">
        <f>J22*26</f>
        <v>9.3749999999999982</v>
      </c>
    </row>
    <row r="23" spans="2:12">
      <c r="B23" s="31"/>
      <c r="C23" s="159" t="s">
        <v>106</v>
      </c>
      <c r="D23" s="157">
        <v>1</v>
      </c>
      <c r="E23" s="160">
        <f t="shared" ref="E23:E35" si="0">$C$6</f>
        <v>0.28846153846153844</v>
      </c>
      <c r="F23" s="164">
        <v>20</v>
      </c>
      <c r="G23" s="158">
        <f t="shared" ref="G23:G77" si="1">F23/60</f>
        <v>0.33333333333333331</v>
      </c>
      <c r="H23" s="112">
        <v>5</v>
      </c>
      <c r="I23" s="158">
        <f>H23/26*(F23/60)</f>
        <v>6.4102564102564097E-2</v>
      </c>
      <c r="J23" s="172">
        <f>E23*I23</f>
        <v>1.8491124260355027E-2</v>
      </c>
      <c r="K23" s="172">
        <f t="shared" ref="K23:K77" si="2">J23*26</f>
        <v>0.48076923076923073</v>
      </c>
    </row>
    <row r="24" spans="2:12">
      <c r="B24" s="31"/>
      <c r="C24" s="159" t="s">
        <v>103</v>
      </c>
      <c r="D24" s="157">
        <v>1</v>
      </c>
      <c r="E24" s="160">
        <f t="shared" si="0"/>
        <v>0.28846153846153844</v>
      </c>
      <c r="F24" s="164">
        <v>10</v>
      </c>
      <c r="G24" s="158">
        <f t="shared" si="1"/>
        <v>0.16666666666666666</v>
      </c>
      <c r="H24" s="112">
        <v>5</v>
      </c>
      <c r="I24" s="158">
        <f>H24/26*(F24/60)</f>
        <v>3.2051282051282048E-2</v>
      </c>
      <c r="J24" s="172">
        <f>E24*I24</f>
        <v>9.2455621301775134E-3</v>
      </c>
      <c r="K24" s="172">
        <f t="shared" si="2"/>
        <v>0.24038461538461536</v>
      </c>
    </row>
    <row r="25" spans="2:12">
      <c r="B25" s="31"/>
      <c r="C25" s="159" t="s">
        <v>20</v>
      </c>
      <c r="D25" s="157">
        <v>1</v>
      </c>
      <c r="E25" s="160">
        <f t="shared" si="0"/>
        <v>0.28846153846153844</v>
      </c>
      <c r="F25" s="164">
        <v>2</v>
      </c>
      <c r="G25" s="158">
        <f t="shared" si="1"/>
        <v>3.3333333333333333E-2</v>
      </c>
      <c r="H25" s="112">
        <v>5</v>
      </c>
      <c r="I25" s="158">
        <f>H25/26*(F25/60)</f>
        <v>6.4102564102564109E-3</v>
      </c>
      <c r="J25" s="172">
        <f>E25*I25</f>
        <v>1.8491124260355031E-3</v>
      </c>
      <c r="K25" s="172">
        <f t="shared" si="2"/>
        <v>4.807692307692308E-2</v>
      </c>
    </row>
    <row r="26" spans="2:12">
      <c r="B26" s="31"/>
      <c r="C26" s="159" t="s">
        <v>21</v>
      </c>
      <c r="D26" s="157">
        <v>1</v>
      </c>
      <c r="E26" s="160">
        <f t="shared" si="0"/>
        <v>0.28846153846153844</v>
      </c>
      <c r="F26" s="164">
        <v>5</v>
      </c>
      <c r="G26" s="158">
        <f t="shared" si="1"/>
        <v>8.3333333333333329E-2</v>
      </c>
      <c r="H26" s="112">
        <v>5</v>
      </c>
      <c r="I26" s="158">
        <f>H26/26*(F26/60)</f>
        <v>1.6025641025641024E-2</v>
      </c>
      <c r="J26" s="172">
        <f>E26*I26</f>
        <v>4.6227810650887567E-3</v>
      </c>
      <c r="K26" s="172">
        <f t="shared" si="2"/>
        <v>0.12019230769230768</v>
      </c>
    </row>
    <row r="27" spans="2:12">
      <c r="B27" s="31"/>
      <c r="C27" s="10"/>
      <c r="D27" s="157"/>
      <c r="E27" s="160"/>
      <c r="F27" s="164"/>
      <c r="G27" s="158"/>
      <c r="H27" s="112"/>
      <c r="I27" s="158"/>
      <c r="J27" s="172"/>
      <c r="K27" s="172"/>
    </row>
    <row r="28" spans="2:12">
      <c r="B28" s="31"/>
      <c r="C28" s="10"/>
      <c r="D28" s="157"/>
      <c r="E28" s="160"/>
      <c r="F28" s="164"/>
      <c r="G28" s="158"/>
      <c r="H28" s="112"/>
      <c r="I28" s="158"/>
      <c r="J28" s="172"/>
      <c r="K28" s="172"/>
    </row>
    <row r="29" spans="2:12" ht="13.9">
      <c r="B29" s="161" t="s">
        <v>22</v>
      </c>
      <c r="C29" s="162" t="s">
        <v>23</v>
      </c>
      <c r="D29" s="157">
        <v>1</v>
      </c>
      <c r="E29" s="160">
        <f t="shared" si="0"/>
        <v>0.28846153846153844</v>
      </c>
      <c r="F29" s="164">
        <v>30</v>
      </c>
      <c r="G29" s="158">
        <f t="shared" si="1"/>
        <v>0.5</v>
      </c>
      <c r="H29" s="112">
        <v>5</v>
      </c>
      <c r="I29" s="158">
        <f t="shared" ref="I29:I35" si="3">H29/26*(F29/60)</f>
        <v>9.6153846153846159E-2</v>
      </c>
      <c r="J29" s="172">
        <f t="shared" ref="J29:J35" si="4">E29*I29</f>
        <v>2.7736686390532544E-2</v>
      </c>
      <c r="K29" s="172">
        <f t="shared" si="2"/>
        <v>0.72115384615384615</v>
      </c>
    </row>
    <row r="30" spans="2:12" ht="12.75" customHeight="1">
      <c r="B30" s="31"/>
      <c r="C30" s="159" t="s">
        <v>24</v>
      </c>
      <c r="D30" s="157">
        <v>1</v>
      </c>
      <c r="E30" s="160">
        <f t="shared" si="0"/>
        <v>0.28846153846153844</v>
      </c>
      <c r="F30" s="164">
        <v>60</v>
      </c>
      <c r="G30" s="158">
        <f t="shared" si="1"/>
        <v>1</v>
      </c>
      <c r="H30" s="112">
        <v>5</v>
      </c>
      <c r="I30" s="158">
        <f t="shared" si="3"/>
        <v>0.19230769230769232</v>
      </c>
      <c r="J30" s="172">
        <f t="shared" si="4"/>
        <v>5.5473372781065088E-2</v>
      </c>
      <c r="K30" s="172">
        <f t="shared" si="2"/>
        <v>1.4423076923076923</v>
      </c>
    </row>
    <row r="31" spans="2:12">
      <c r="B31" s="31"/>
      <c r="C31" s="159" t="s">
        <v>25</v>
      </c>
      <c r="D31" s="157">
        <v>1</v>
      </c>
      <c r="E31" s="160">
        <f t="shared" si="0"/>
        <v>0.28846153846153844</v>
      </c>
      <c r="F31" s="164">
        <v>60</v>
      </c>
      <c r="G31" s="158">
        <f t="shared" si="1"/>
        <v>1</v>
      </c>
      <c r="H31" s="112">
        <v>5</v>
      </c>
      <c r="I31" s="158">
        <f t="shared" si="3"/>
        <v>0.19230769230769232</v>
      </c>
      <c r="J31" s="172">
        <f t="shared" si="4"/>
        <v>5.5473372781065088E-2</v>
      </c>
      <c r="K31" s="172">
        <f t="shared" si="2"/>
        <v>1.4423076923076923</v>
      </c>
    </row>
    <row r="32" spans="2:12">
      <c r="B32" s="31"/>
      <c r="C32" s="159" t="s">
        <v>26</v>
      </c>
      <c r="D32" s="157">
        <v>1</v>
      </c>
      <c r="E32" s="160">
        <f t="shared" si="0"/>
        <v>0.28846153846153844</v>
      </c>
      <c r="F32" s="164">
        <v>30</v>
      </c>
      <c r="G32" s="158">
        <f t="shared" si="1"/>
        <v>0.5</v>
      </c>
      <c r="H32" s="112">
        <v>5</v>
      </c>
      <c r="I32" s="158">
        <f t="shared" si="3"/>
        <v>9.6153846153846159E-2</v>
      </c>
      <c r="J32" s="172">
        <f t="shared" si="4"/>
        <v>2.7736686390532544E-2</v>
      </c>
      <c r="K32" s="172">
        <f t="shared" si="2"/>
        <v>0.72115384615384615</v>
      </c>
    </row>
    <row r="33" spans="2:11">
      <c r="B33" s="31"/>
      <c r="C33" s="159" t="s">
        <v>27</v>
      </c>
      <c r="D33" s="157">
        <v>1</v>
      </c>
      <c r="E33" s="160">
        <f t="shared" si="0"/>
        <v>0.28846153846153844</v>
      </c>
      <c r="F33" s="164">
        <v>30</v>
      </c>
      <c r="G33" s="158">
        <f t="shared" si="1"/>
        <v>0.5</v>
      </c>
      <c r="H33" s="112">
        <v>5</v>
      </c>
      <c r="I33" s="158">
        <f t="shared" si="3"/>
        <v>9.6153846153846159E-2</v>
      </c>
      <c r="J33" s="172">
        <f t="shared" si="4"/>
        <v>2.7736686390532544E-2</v>
      </c>
      <c r="K33" s="172">
        <f t="shared" si="2"/>
        <v>0.72115384615384615</v>
      </c>
    </row>
    <row r="34" spans="2:11">
      <c r="B34" s="31"/>
      <c r="C34" s="159" t="s">
        <v>28</v>
      </c>
      <c r="D34" s="157">
        <v>1</v>
      </c>
      <c r="E34" s="160">
        <f t="shared" si="0"/>
        <v>0.28846153846153844</v>
      </c>
      <c r="F34" s="164">
        <v>5</v>
      </c>
      <c r="G34" s="158">
        <f t="shared" si="1"/>
        <v>8.3333333333333329E-2</v>
      </c>
      <c r="H34" s="112">
        <v>5</v>
      </c>
      <c r="I34" s="158">
        <f t="shared" si="3"/>
        <v>1.6025641025641024E-2</v>
      </c>
      <c r="J34" s="172">
        <f t="shared" si="4"/>
        <v>4.6227810650887567E-3</v>
      </c>
      <c r="K34" s="172">
        <f t="shared" si="2"/>
        <v>0.12019230769230768</v>
      </c>
    </row>
    <row r="35" spans="2:11">
      <c r="B35" s="31"/>
      <c r="C35" s="159" t="s">
        <v>29</v>
      </c>
      <c r="D35" s="157">
        <v>1</v>
      </c>
      <c r="E35" s="160">
        <f t="shared" si="0"/>
        <v>0.28846153846153844</v>
      </c>
      <c r="F35" s="164">
        <v>360</v>
      </c>
      <c r="G35" s="158">
        <f t="shared" si="1"/>
        <v>6</v>
      </c>
      <c r="H35" s="112">
        <v>5</v>
      </c>
      <c r="I35" s="158">
        <f t="shared" si="3"/>
        <v>1.153846153846154</v>
      </c>
      <c r="J35" s="172">
        <f t="shared" si="4"/>
        <v>0.33284023668639051</v>
      </c>
      <c r="K35" s="172">
        <f t="shared" si="2"/>
        <v>8.6538461538461533</v>
      </c>
    </row>
    <row r="36" spans="2:11">
      <c r="B36" s="31"/>
      <c r="C36" s="159"/>
      <c r="D36" s="157"/>
      <c r="E36" s="160"/>
      <c r="F36" s="164"/>
      <c r="G36" s="158"/>
      <c r="H36" s="112"/>
      <c r="I36" s="158"/>
      <c r="J36" s="172"/>
      <c r="K36" s="172"/>
    </row>
    <row r="37" spans="2:11">
      <c r="B37" s="31"/>
      <c r="C37" s="10"/>
      <c r="D37" s="157"/>
      <c r="E37" s="160"/>
      <c r="F37" s="164"/>
      <c r="G37" s="158"/>
      <c r="H37" s="112"/>
      <c r="I37" s="158"/>
      <c r="J37" s="172"/>
      <c r="K37" s="172"/>
    </row>
    <row r="38" spans="2:11">
      <c r="B38" s="31"/>
      <c r="C38" s="10"/>
      <c r="D38" s="157"/>
      <c r="E38" s="160"/>
      <c r="F38" s="164"/>
      <c r="G38" s="158"/>
      <c r="H38" s="112"/>
      <c r="I38" s="158"/>
      <c r="J38" s="172"/>
      <c r="K38" s="172"/>
    </row>
    <row r="39" spans="2:11">
      <c r="B39" s="31"/>
      <c r="C39" s="10"/>
      <c r="D39" s="157"/>
      <c r="E39" s="160"/>
      <c r="F39" s="164"/>
      <c r="G39" s="158"/>
      <c r="H39" s="112"/>
      <c r="I39" s="158"/>
      <c r="J39" s="172"/>
      <c r="K39" s="172"/>
    </row>
    <row r="40" spans="2:11" ht="13.9">
      <c r="B40" s="155" t="s">
        <v>30</v>
      </c>
      <c r="C40" s="159" t="s">
        <v>31</v>
      </c>
      <c r="D40" s="157">
        <v>1</v>
      </c>
      <c r="E40" s="163" t="e">
        <f>#REF!*D40</f>
        <v>#REF!</v>
      </c>
      <c r="F40" s="164">
        <v>45</v>
      </c>
      <c r="G40" s="158">
        <f t="shared" si="1"/>
        <v>0.75</v>
      </c>
      <c r="H40" s="112">
        <v>5</v>
      </c>
      <c r="I40" s="158">
        <f>H40/26*(F40/60)</f>
        <v>0.14423076923076925</v>
      </c>
      <c r="J40" s="172" t="e">
        <f>E40*I40</f>
        <v>#REF!</v>
      </c>
      <c r="K40" s="172" t="e">
        <f t="shared" si="2"/>
        <v>#REF!</v>
      </c>
    </row>
    <row r="41" spans="2:11">
      <c r="B41" s="31"/>
      <c r="C41" s="159" t="s">
        <v>32</v>
      </c>
      <c r="D41" s="157">
        <v>1</v>
      </c>
      <c r="E41" s="163" t="e">
        <f>#REF!*D41</f>
        <v>#REF!</v>
      </c>
      <c r="F41" s="164">
        <v>20</v>
      </c>
      <c r="G41" s="158">
        <f t="shared" si="1"/>
        <v>0.33333333333333331</v>
      </c>
      <c r="H41" s="112">
        <v>5</v>
      </c>
      <c r="I41" s="158">
        <f>H41/26*(F41/60)</f>
        <v>6.4102564102564097E-2</v>
      </c>
      <c r="J41" s="172" t="e">
        <f>E41*I41</f>
        <v>#REF!</v>
      </c>
      <c r="K41" s="172" t="e">
        <f t="shared" si="2"/>
        <v>#REF!</v>
      </c>
    </row>
    <row r="42" spans="2:11">
      <c r="B42" s="31"/>
      <c r="C42" s="10"/>
      <c r="D42" s="157"/>
      <c r="E42" s="163"/>
      <c r="F42" s="164"/>
      <c r="G42" s="158"/>
      <c r="H42" s="112"/>
      <c r="I42" s="158"/>
      <c r="J42" s="172"/>
      <c r="K42" s="172"/>
    </row>
    <row r="43" spans="2:11">
      <c r="B43" s="31"/>
      <c r="C43" s="10"/>
      <c r="D43" s="157"/>
      <c r="E43" s="163"/>
      <c r="F43" s="164"/>
      <c r="G43" s="158"/>
      <c r="H43" s="112"/>
      <c r="I43" s="158"/>
      <c r="J43" s="172"/>
      <c r="K43" s="172"/>
    </row>
    <row r="44" spans="2:11">
      <c r="B44" s="31"/>
      <c r="C44" s="10"/>
      <c r="D44" s="157"/>
      <c r="E44" s="163"/>
      <c r="F44" s="164"/>
      <c r="G44" s="158"/>
      <c r="H44" s="112"/>
      <c r="I44" s="158"/>
      <c r="J44" s="172"/>
      <c r="K44" s="172"/>
    </row>
    <row r="45" spans="2:11" ht="13.9">
      <c r="B45" s="155" t="s">
        <v>33</v>
      </c>
      <c r="C45" s="31" t="s">
        <v>34</v>
      </c>
      <c r="D45" s="157">
        <v>1</v>
      </c>
      <c r="E45" s="163" t="e">
        <f>#REF!*D45</f>
        <v>#REF!</v>
      </c>
      <c r="F45" s="164">
        <v>25</v>
      </c>
      <c r="G45" s="158">
        <f t="shared" si="1"/>
        <v>0.41666666666666669</v>
      </c>
      <c r="H45" s="112">
        <v>5</v>
      </c>
      <c r="I45" s="158">
        <f t="shared" ref="I45:I52" si="5">H45/26*(F45/60)</f>
        <v>8.0128205128205135E-2</v>
      </c>
      <c r="J45" s="172" t="e">
        <f t="shared" ref="J45:J52" si="6">E45*I45</f>
        <v>#REF!</v>
      </c>
      <c r="K45" s="172" t="e">
        <f t="shared" si="2"/>
        <v>#REF!</v>
      </c>
    </row>
    <row r="46" spans="2:11">
      <c r="B46" s="31"/>
      <c r="C46" s="31" t="s">
        <v>35</v>
      </c>
      <c r="D46" s="157">
        <v>1</v>
      </c>
      <c r="E46" s="163" t="e">
        <f>#REF!*D46</f>
        <v>#REF!</v>
      </c>
      <c r="F46" s="164">
        <v>25</v>
      </c>
      <c r="G46" s="158">
        <f t="shared" si="1"/>
        <v>0.41666666666666669</v>
      </c>
      <c r="H46" s="112">
        <v>5</v>
      </c>
      <c r="I46" s="158">
        <f t="shared" si="5"/>
        <v>8.0128205128205135E-2</v>
      </c>
      <c r="J46" s="172" t="e">
        <f t="shared" si="6"/>
        <v>#REF!</v>
      </c>
      <c r="K46" s="172" t="e">
        <f t="shared" si="2"/>
        <v>#REF!</v>
      </c>
    </row>
    <row r="47" spans="2:11">
      <c r="B47" s="31"/>
      <c r="C47" s="159" t="s">
        <v>36</v>
      </c>
      <c r="D47" s="157">
        <v>1</v>
      </c>
      <c r="E47" s="163" t="e">
        <f>#REF!*D47</f>
        <v>#REF!</v>
      </c>
      <c r="F47" s="164">
        <v>30</v>
      </c>
      <c r="G47" s="158">
        <f t="shared" si="1"/>
        <v>0.5</v>
      </c>
      <c r="H47" s="112">
        <v>5</v>
      </c>
      <c r="I47" s="158">
        <f t="shared" si="5"/>
        <v>9.6153846153846159E-2</v>
      </c>
      <c r="J47" s="172" t="e">
        <f t="shared" si="6"/>
        <v>#REF!</v>
      </c>
      <c r="K47" s="172" t="e">
        <f t="shared" si="2"/>
        <v>#REF!</v>
      </c>
    </row>
    <row r="48" spans="2:11">
      <c r="B48" s="31"/>
      <c r="C48" s="159" t="s">
        <v>37</v>
      </c>
      <c r="D48" s="157">
        <v>1</v>
      </c>
      <c r="E48" s="163" t="e">
        <f>#REF!*D48</f>
        <v>#REF!</v>
      </c>
      <c r="F48" s="164">
        <v>15</v>
      </c>
      <c r="G48" s="158">
        <f t="shared" si="1"/>
        <v>0.25</v>
      </c>
      <c r="H48" s="112">
        <v>5</v>
      </c>
      <c r="I48" s="158">
        <f t="shared" si="5"/>
        <v>4.807692307692308E-2</v>
      </c>
      <c r="J48" s="172" t="e">
        <f t="shared" si="6"/>
        <v>#REF!</v>
      </c>
      <c r="K48" s="172" t="e">
        <f t="shared" si="2"/>
        <v>#REF!</v>
      </c>
    </row>
    <row r="49" spans="2:11">
      <c r="B49" s="31"/>
      <c r="C49" s="159" t="s">
        <v>38</v>
      </c>
      <c r="D49" s="157">
        <v>1</v>
      </c>
      <c r="E49" s="163" t="e">
        <f>#REF!*D49</f>
        <v>#REF!</v>
      </c>
      <c r="F49" s="164">
        <v>20</v>
      </c>
      <c r="G49" s="158">
        <f t="shared" si="1"/>
        <v>0.33333333333333331</v>
      </c>
      <c r="H49" s="112">
        <v>5</v>
      </c>
      <c r="I49" s="158">
        <f t="shared" si="5"/>
        <v>6.4102564102564097E-2</v>
      </c>
      <c r="J49" s="172" t="e">
        <f t="shared" si="6"/>
        <v>#REF!</v>
      </c>
      <c r="K49" s="172" t="e">
        <f t="shared" si="2"/>
        <v>#REF!</v>
      </c>
    </row>
    <row r="50" spans="2:11">
      <c r="B50" s="31"/>
      <c r="C50" s="159" t="s">
        <v>39</v>
      </c>
      <c r="D50" s="157">
        <v>1</v>
      </c>
      <c r="E50" s="163" t="e">
        <f>#REF!*D50</f>
        <v>#REF!</v>
      </c>
      <c r="F50" s="164">
        <v>10</v>
      </c>
      <c r="G50" s="158">
        <f t="shared" si="1"/>
        <v>0.16666666666666666</v>
      </c>
      <c r="H50" s="112">
        <v>5</v>
      </c>
      <c r="I50" s="158">
        <f t="shared" si="5"/>
        <v>3.2051282051282048E-2</v>
      </c>
      <c r="J50" s="172" t="e">
        <f t="shared" si="6"/>
        <v>#REF!</v>
      </c>
      <c r="K50" s="172" t="e">
        <f t="shared" si="2"/>
        <v>#REF!</v>
      </c>
    </row>
    <row r="51" spans="2:11">
      <c r="B51" s="31"/>
      <c r="C51" s="159" t="s">
        <v>40</v>
      </c>
      <c r="D51" s="157">
        <v>1</v>
      </c>
      <c r="E51" s="163" t="e">
        <f>#REF!*D51</f>
        <v>#REF!</v>
      </c>
      <c r="F51" s="164">
        <v>40</v>
      </c>
      <c r="G51" s="158">
        <f t="shared" si="1"/>
        <v>0.66666666666666663</v>
      </c>
      <c r="H51" s="112">
        <v>5</v>
      </c>
      <c r="I51" s="158">
        <f t="shared" si="5"/>
        <v>0.12820512820512819</v>
      </c>
      <c r="J51" s="172" t="e">
        <f t="shared" si="6"/>
        <v>#REF!</v>
      </c>
      <c r="K51" s="172" t="e">
        <f t="shared" si="2"/>
        <v>#REF!</v>
      </c>
    </row>
    <row r="52" spans="2:11">
      <c r="B52" s="31"/>
      <c r="C52" s="159" t="s">
        <v>41</v>
      </c>
      <c r="D52" s="157">
        <v>1</v>
      </c>
      <c r="E52" s="163" t="e">
        <f>#REF!*D52</f>
        <v>#REF!</v>
      </c>
      <c r="F52" s="164">
        <v>25</v>
      </c>
      <c r="G52" s="158">
        <f t="shared" si="1"/>
        <v>0.41666666666666669</v>
      </c>
      <c r="H52" s="112">
        <v>5</v>
      </c>
      <c r="I52" s="158">
        <f t="shared" si="5"/>
        <v>8.0128205128205135E-2</v>
      </c>
      <c r="J52" s="172" t="e">
        <f t="shared" si="6"/>
        <v>#REF!</v>
      </c>
      <c r="K52" s="172" t="e">
        <f t="shared" si="2"/>
        <v>#REF!</v>
      </c>
    </row>
    <row r="53" spans="2:11">
      <c r="B53" s="31"/>
      <c r="C53" s="10"/>
      <c r="D53" s="157"/>
      <c r="E53" s="163"/>
      <c r="F53" s="164"/>
      <c r="G53" s="158"/>
      <c r="H53" s="112"/>
      <c r="I53" s="158"/>
      <c r="J53" s="172"/>
      <c r="K53" s="172"/>
    </row>
    <row r="54" spans="2:11">
      <c r="B54" s="31"/>
      <c r="C54" s="10"/>
      <c r="D54" s="157"/>
      <c r="E54" s="163"/>
      <c r="F54" s="164"/>
      <c r="G54" s="158"/>
      <c r="H54" s="112"/>
      <c r="I54" s="158"/>
      <c r="J54" s="172"/>
      <c r="K54" s="172"/>
    </row>
    <row r="55" spans="2:11" ht="13.9">
      <c r="B55" s="155" t="s">
        <v>42</v>
      </c>
      <c r="C55" s="159" t="s">
        <v>43</v>
      </c>
      <c r="D55" s="157">
        <v>1</v>
      </c>
      <c r="E55" s="163" t="e">
        <f>#REF!*D55</f>
        <v>#REF!</v>
      </c>
      <c r="F55" s="164">
        <v>25</v>
      </c>
      <c r="G55" s="158">
        <f t="shared" si="1"/>
        <v>0.41666666666666669</v>
      </c>
      <c r="H55" s="112">
        <v>5</v>
      </c>
      <c r="I55" s="158">
        <f t="shared" ref="I55:I62" si="7">H55/26*(F55/60)</f>
        <v>8.0128205128205135E-2</v>
      </c>
      <c r="J55" s="172" t="e">
        <f>E55*I55</f>
        <v>#REF!</v>
      </c>
      <c r="K55" s="172" t="e">
        <f t="shared" si="2"/>
        <v>#REF!</v>
      </c>
    </row>
    <row r="56" spans="2:11">
      <c r="B56" s="31"/>
      <c r="C56" s="159" t="s">
        <v>44</v>
      </c>
      <c r="D56" s="157">
        <v>1</v>
      </c>
      <c r="E56" s="163" t="e">
        <f>#REF!*D56</f>
        <v>#REF!</v>
      </c>
      <c r="F56" s="164">
        <v>25</v>
      </c>
      <c r="G56" s="158">
        <f t="shared" si="1"/>
        <v>0.41666666666666669</v>
      </c>
      <c r="H56" s="112">
        <v>5</v>
      </c>
      <c r="I56" s="158">
        <f t="shared" si="7"/>
        <v>8.0128205128205135E-2</v>
      </c>
      <c r="J56" s="172" t="e">
        <f>E56*I56</f>
        <v>#REF!</v>
      </c>
      <c r="K56" s="172" t="e">
        <f t="shared" si="2"/>
        <v>#REF!</v>
      </c>
    </row>
    <row r="57" spans="2:11">
      <c r="B57" s="31"/>
      <c r="C57" s="159" t="s">
        <v>45</v>
      </c>
      <c r="D57" s="157">
        <v>1</v>
      </c>
      <c r="E57" s="163" t="e">
        <f>#REF!*D57</f>
        <v>#REF!</v>
      </c>
      <c r="F57" s="164">
        <v>45</v>
      </c>
      <c r="G57" s="158">
        <f t="shared" si="1"/>
        <v>0.75</v>
      </c>
      <c r="H57" s="112">
        <v>5</v>
      </c>
      <c r="I57" s="158">
        <f t="shared" si="7"/>
        <v>0.14423076923076925</v>
      </c>
      <c r="J57" s="172" t="e">
        <f>E57*I57</f>
        <v>#REF!</v>
      </c>
      <c r="K57" s="172" t="e">
        <f t="shared" si="2"/>
        <v>#REF!</v>
      </c>
    </row>
    <row r="58" spans="2:11">
      <c r="B58" s="31"/>
      <c r="C58" s="159" t="s">
        <v>46</v>
      </c>
      <c r="D58" s="157">
        <v>1</v>
      </c>
      <c r="E58" s="163" t="e">
        <f>#REF!*D58</f>
        <v>#REF!</v>
      </c>
      <c r="F58" s="164">
        <v>60</v>
      </c>
      <c r="G58" s="158">
        <f t="shared" si="1"/>
        <v>1</v>
      </c>
      <c r="H58" s="112">
        <v>5</v>
      </c>
      <c r="I58" s="158">
        <f t="shared" si="7"/>
        <v>0.19230769230769232</v>
      </c>
      <c r="J58" s="172" t="e">
        <f>E58*I58</f>
        <v>#REF!</v>
      </c>
      <c r="K58" s="172" t="e">
        <f t="shared" si="2"/>
        <v>#REF!</v>
      </c>
    </row>
    <row r="59" spans="2:11">
      <c r="B59" s="31"/>
      <c r="C59" s="10"/>
      <c r="D59" s="157"/>
      <c r="E59" s="163"/>
      <c r="F59" s="164"/>
      <c r="G59" s="158"/>
      <c r="H59" s="112"/>
      <c r="I59" s="158">
        <f t="shared" si="7"/>
        <v>0</v>
      </c>
      <c r="J59" s="172"/>
      <c r="K59" s="172"/>
    </row>
    <row r="60" spans="2:11">
      <c r="B60" s="31"/>
      <c r="C60" s="10"/>
      <c r="D60" s="157"/>
      <c r="E60" s="163"/>
      <c r="F60" s="164"/>
      <c r="G60" s="158"/>
      <c r="H60" s="112"/>
      <c r="I60" s="158">
        <f t="shared" si="7"/>
        <v>0</v>
      </c>
      <c r="J60" s="172"/>
      <c r="K60" s="172"/>
    </row>
    <row r="61" spans="2:11" ht="13.9">
      <c r="B61" s="155" t="s">
        <v>47</v>
      </c>
      <c r="C61" s="159" t="s">
        <v>48</v>
      </c>
      <c r="D61" s="157">
        <v>1</v>
      </c>
      <c r="E61" s="163" t="e">
        <f>#REF!*D61</f>
        <v>#REF!</v>
      </c>
      <c r="F61" s="164">
        <v>60</v>
      </c>
      <c r="G61" s="158">
        <f t="shared" si="1"/>
        <v>1</v>
      </c>
      <c r="H61" s="112">
        <v>5</v>
      </c>
      <c r="I61" s="158">
        <f t="shared" si="7"/>
        <v>0.19230769230769232</v>
      </c>
      <c r="J61" s="172" t="e">
        <f>E61*I61</f>
        <v>#REF!</v>
      </c>
      <c r="K61" s="172" t="e">
        <f t="shared" si="2"/>
        <v>#REF!</v>
      </c>
    </row>
    <row r="62" spans="2:11">
      <c r="B62" s="31"/>
      <c r="C62" s="159" t="s">
        <v>49</v>
      </c>
      <c r="D62" s="157">
        <v>1</v>
      </c>
      <c r="E62" s="163" t="e">
        <f>#REF!*D62</f>
        <v>#REF!</v>
      </c>
      <c r="F62" s="164">
        <v>45</v>
      </c>
      <c r="G62" s="158">
        <f t="shared" si="1"/>
        <v>0.75</v>
      </c>
      <c r="H62" s="112">
        <v>5</v>
      </c>
      <c r="I62" s="158">
        <f t="shared" si="7"/>
        <v>0.14423076923076925</v>
      </c>
      <c r="J62" s="172" t="e">
        <f>E62*I62</f>
        <v>#REF!</v>
      </c>
      <c r="K62" s="172" t="e">
        <f t="shared" si="2"/>
        <v>#REF!</v>
      </c>
    </row>
    <row r="63" spans="2:11">
      <c r="B63" s="31"/>
      <c r="C63" s="10"/>
      <c r="D63" s="157"/>
      <c r="E63" s="163"/>
      <c r="F63" s="164"/>
      <c r="G63" s="158"/>
      <c r="H63" s="112"/>
      <c r="I63" s="158"/>
      <c r="J63" s="172"/>
      <c r="K63" s="172"/>
    </row>
    <row r="64" spans="2:11">
      <c r="B64" s="31"/>
      <c r="C64" s="10"/>
      <c r="D64" s="157"/>
      <c r="E64" s="163"/>
      <c r="F64" s="164"/>
      <c r="G64" s="158"/>
      <c r="H64" s="112"/>
      <c r="I64" s="158"/>
      <c r="J64" s="172"/>
      <c r="K64" s="172"/>
    </row>
    <row r="65" spans="2:11" ht="13.9">
      <c r="B65" s="161" t="s">
        <v>50</v>
      </c>
      <c r="C65" s="159" t="s">
        <v>51</v>
      </c>
      <c r="D65" s="157">
        <v>1</v>
      </c>
      <c r="E65" s="163" t="e">
        <f>#REF!*D65</f>
        <v>#REF!</v>
      </c>
      <c r="F65" s="164"/>
      <c r="G65" s="158">
        <f t="shared" si="1"/>
        <v>0</v>
      </c>
      <c r="H65" s="112">
        <v>5</v>
      </c>
      <c r="I65" s="158">
        <f>H65/26*(F65/60)</f>
        <v>0</v>
      </c>
      <c r="J65" s="172" t="e">
        <f>E65*I65</f>
        <v>#REF!</v>
      </c>
      <c r="K65" s="172" t="e">
        <f t="shared" si="2"/>
        <v>#REF!</v>
      </c>
    </row>
    <row r="66" spans="2:11">
      <c r="B66" s="31"/>
      <c r="C66" s="10"/>
      <c r="D66" s="157"/>
      <c r="E66" s="163"/>
      <c r="F66" s="164"/>
      <c r="G66" s="158"/>
      <c r="H66" s="112"/>
      <c r="I66" s="158"/>
      <c r="J66" s="172"/>
      <c r="K66" s="172"/>
    </row>
    <row r="67" spans="2:11">
      <c r="B67" s="31"/>
      <c r="C67" s="10"/>
      <c r="D67" s="157"/>
      <c r="E67" s="163"/>
      <c r="F67" s="164"/>
      <c r="G67" s="158"/>
      <c r="H67" s="112"/>
      <c r="I67" s="158"/>
      <c r="J67" s="172"/>
      <c r="K67" s="172"/>
    </row>
    <row r="68" spans="2:11" ht="13.9">
      <c r="B68" s="155" t="s">
        <v>52</v>
      </c>
      <c r="C68" s="159" t="s">
        <v>53</v>
      </c>
      <c r="D68" s="157">
        <v>1</v>
      </c>
      <c r="E68" s="163" t="e">
        <f>#REF!*D68</f>
        <v>#REF!</v>
      </c>
      <c r="F68" s="164">
        <v>60</v>
      </c>
      <c r="G68" s="158">
        <f t="shared" si="1"/>
        <v>1</v>
      </c>
      <c r="H68" s="112">
        <v>5</v>
      </c>
      <c r="I68" s="158">
        <f>H68/26*(F68/60)</f>
        <v>0.19230769230769232</v>
      </c>
      <c r="J68" s="172" t="e">
        <f>E68*I68</f>
        <v>#REF!</v>
      </c>
      <c r="K68" s="172" t="e">
        <f t="shared" si="2"/>
        <v>#REF!</v>
      </c>
    </row>
    <row r="69" spans="2:11">
      <c r="B69" s="31"/>
      <c r="C69" s="10"/>
      <c r="D69" s="157">
        <v>1</v>
      </c>
      <c r="E69" s="163"/>
      <c r="F69" s="164"/>
      <c r="G69" s="158"/>
      <c r="H69" s="112"/>
      <c r="I69" s="158"/>
      <c r="J69" s="172"/>
      <c r="K69" s="172"/>
    </row>
    <row r="70" spans="2:11" ht="13.9">
      <c r="B70" s="161" t="s">
        <v>54</v>
      </c>
      <c r="C70" s="159" t="s">
        <v>55</v>
      </c>
      <c r="D70" s="157">
        <v>1</v>
      </c>
      <c r="E70" s="163" t="e">
        <f>#REF!*D70</f>
        <v>#REF!</v>
      </c>
      <c r="F70" s="164">
        <v>15</v>
      </c>
      <c r="G70" s="158">
        <f t="shared" si="1"/>
        <v>0.25</v>
      </c>
      <c r="H70" s="112">
        <v>5</v>
      </c>
      <c r="I70" s="158">
        <f>H70/26*(F70/60)</f>
        <v>4.807692307692308E-2</v>
      </c>
      <c r="J70" s="172" t="e">
        <f>E70*I70</f>
        <v>#REF!</v>
      </c>
      <c r="K70" s="172" t="e">
        <f t="shared" si="2"/>
        <v>#REF!</v>
      </c>
    </row>
    <row r="71" spans="2:11">
      <c r="B71" s="31"/>
      <c r="C71" s="159" t="s">
        <v>56</v>
      </c>
      <c r="D71" s="157">
        <v>1</v>
      </c>
      <c r="E71" s="163" t="e">
        <f>#REF!*D71</f>
        <v>#REF!</v>
      </c>
      <c r="F71" s="164">
        <v>25</v>
      </c>
      <c r="G71" s="158">
        <f t="shared" si="1"/>
        <v>0.41666666666666669</v>
      </c>
      <c r="H71" s="112">
        <v>5</v>
      </c>
      <c r="I71" s="158">
        <f>H71/26*(F71/60)</f>
        <v>8.0128205128205135E-2</v>
      </c>
      <c r="J71" s="172" t="e">
        <f>E71*I71</f>
        <v>#REF!</v>
      </c>
      <c r="K71" s="172" t="e">
        <f t="shared" si="2"/>
        <v>#REF!</v>
      </c>
    </row>
    <row r="72" spans="2:11">
      <c r="B72" s="31"/>
      <c r="C72" s="159" t="s">
        <v>57</v>
      </c>
      <c r="D72" s="157">
        <v>1</v>
      </c>
      <c r="E72" s="163" t="e">
        <f>#REF!*D72</f>
        <v>#REF!</v>
      </c>
      <c r="F72" s="164">
        <v>60</v>
      </c>
      <c r="G72" s="158">
        <f t="shared" si="1"/>
        <v>1</v>
      </c>
      <c r="H72" s="112">
        <v>5</v>
      </c>
      <c r="I72" s="158">
        <f>H72/26*(F72/60)</f>
        <v>0.19230769230769232</v>
      </c>
      <c r="J72" s="172" t="e">
        <f>E72*I72</f>
        <v>#REF!</v>
      </c>
      <c r="K72" s="172" t="e">
        <f t="shared" si="2"/>
        <v>#REF!</v>
      </c>
    </row>
    <row r="73" spans="2:11">
      <c r="B73" s="31"/>
      <c r="C73" s="159" t="s">
        <v>58</v>
      </c>
      <c r="D73" s="157">
        <v>1</v>
      </c>
      <c r="E73" s="163" t="e">
        <f>#REF!*D73</f>
        <v>#REF!</v>
      </c>
      <c r="F73" s="164">
        <v>25</v>
      </c>
      <c r="G73" s="158">
        <f t="shared" si="1"/>
        <v>0.41666666666666669</v>
      </c>
      <c r="H73" s="112">
        <v>5</v>
      </c>
      <c r="I73" s="158">
        <f>H73/26*(F73/60)</f>
        <v>8.0128205128205135E-2</v>
      </c>
      <c r="J73" s="172" t="e">
        <f>E73*I73</f>
        <v>#REF!</v>
      </c>
      <c r="K73" s="172" t="e">
        <f t="shared" si="2"/>
        <v>#REF!</v>
      </c>
    </row>
    <row r="74" spans="2:11">
      <c r="B74" s="31"/>
      <c r="C74" s="159" t="s">
        <v>59</v>
      </c>
      <c r="D74" s="157">
        <v>1</v>
      </c>
      <c r="E74" s="163" t="e">
        <f>#REF!*D74</f>
        <v>#REF!</v>
      </c>
      <c r="F74" s="164">
        <v>15</v>
      </c>
      <c r="G74" s="158">
        <f t="shared" si="1"/>
        <v>0.25</v>
      </c>
      <c r="H74" s="112">
        <v>5</v>
      </c>
      <c r="I74" s="158">
        <f>H74/26*(F74/60)</f>
        <v>4.807692307692308E-2</v>
      </c>
      <c r="J74" s="172" t="e">
        <f>E74*I74</f>
        <v>#REF!</v>
      </c>
      <c r="K74" s="172" t="e">
        <f t="shared" si="2"/>
        <v>#REF!</v>
      </c>
    </row>
    <row r="75" spans="2:11">
      <c r="B75" s="31"/>
      <c r="C75" s="22"/>
      <c r="D75" s="157"/>
      <c r="E75" s="163"/>
      <c r="F75" s="164"/>
      <c r="G75" s="158"/>
      <c r="H75" s="112"/>
      <c r="I75" s="158"/>
      <c r="J75" s="172"/>
      <c r="K75" s="172"/>
    </row>
    <row r="76" spans="2:11" ht="13.9">
      <c r="B76" s="155" t="s">
        <v>101</v>
      </c>
      <c r="C76" s="165" t="s">
        <v>102</v>
      </c>
      <c r="D76" s="157">
        <v>1</v>
      </c>
      <c r="E76" s="163" t="e">
        <f>#REF!*D76</f>
        <v>#REF!</v>
      </c>
      <c r="F76" s="164"/>
      <c r="G76" s="158">
        <f t="shared" si="1"/>
        <v>0</v>
      </c>
      <c r="H76" s="112">
        <v>5</v>
      </c>
      <c r="I76" s="158">
        <f>H76/26*(F76/60)</f>
        <v>0</v>
      </c>
      <c r="J76" s="172" t="e">
        <f>E76*I76</f>
        <v>#REF!</v>
      </c>
      <c r="K76" s="172" t="e">
        <f t="shared" si="2"/>
        <v>#REF!</v>
      </c>
    </row>
    <row r="77" spans="2:11">
      <c r="B77" s="31"/>
      <c r="C77" s="31"/>
      <c r="D77" s="157">
        <v>1</v>
      </c>
      <c r="E77" s="163" t="e">
        <f>#REF!*D77</f>
        <v>#REF!</v>
      </c>
      <c r="F77" s="164"/>
      <c r="G77" s="158">
        <f t="shared" si="1"/>
        <v>0</v>
      </c>
      <c r="H77" s="112">
        <v>5</v>
      </c>
      <c r="I77" s="158">
        <f>H77/26*(F77/60)</f>
        <v>0</v>
      </c>
      <c r="J77" s="172" t="e">
        <f>E77*I77</f>
        <v>#REF!</v>
      </c>
      <c r="K77" s="172" t="e">
        <f t="shared" si="2"/>
        <v>#REF!</v>
      </c>
    </row>
    <row r="78" spans="2:11">
      <c r="B78" s="31"/>
      <c r="C78" s="10"/>
      <c r="D78" s="157">
        <v>1</v>
      </c>
      <c r="E78" s="163" t="e">
        <f>#REF!*D78</f>
        <v>#REF!</v>
      </c>
      <c r="F78" s="112"/>
      <c r="G78" s="158">
        <f t="shared" ref="G78" si="8">F78/60</f>
        <v>0</v>
      </c>
      <c r="H78" s="112">
        <v>5</v>
      </c>
      <c r="I78" s="158">
        <f>H78/26*(F78/60)</f>
        <v>0</v>
      </c>
      <c r="J78" s="172" t="e">
        <f>E78*I78</f>
        <v>#REF!</v>
      </c>
      <c r="K78" s="172" t="e">
        <f t="shared" ref="K78" si="9">J78*26</f>
        <v>#REF!</v>
      </c>
    </row>
  </sheetData>
  <mergeCells count="2">
    <mergeCell ref="E1:F1"/>
    <mergeCell ref="E2:F2"/>
  </mergeCells>
  <dataValidations count="1">
    <dataValidation type="list" allowBlank="1" showInputMessage="1" showErrorMessage="1" sqref="H22:H78" xr:uid="{939F9FCD-F127-49DC-908F-A79105A52329}">
      <formula1>$F$3:$F$14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SalCal Summary</vt:lpstr>
      <vt:lpstr>Fnal Tasks Pricing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Mbuta</dc:creator>
  <cp:lastModifiedBy>Timothy kibe</cp:lastModifiedBy>
  <dcterms:created xsi:type="dcterms:W3CDTF">2025-11-25T22:22:23Z</dcterms:created>
  <dcterms:modified xsi:type="dcterms:W3CDTF">2025-12-02T11:20:30Z</dcterms:modified>
</cp:coreProperties>
</file>